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#$%$%+=.exe\projec excel\ADM PERPUS\"/>
    </mc:Choice>
  </mc:AlternateContent>
  <bookViews>
    <workbookView xWindow="480" yWindow="135" windowWidth="16275" windowHeight="9015" tabRatio="927"/>
  </bookViews>
  <sheets>
    <sheet name="FORMAT ISI" sheetId="1" r:id="rId1"/>
    <sheet name="KELAS" sheetId="2" r:id="rId2"/>
    <sheet name="REKAP BUKU" sheetId="3" r:id="rId3"/>
    <sheet name="DATA PERPUSTAKAAN" sheetId="5" r:id="rId4"/>
    <sheet name="REKAPAN" sheetId="6" r:id="rId5"/>
  </sheets>
  <definedNames>
    <definedName name="KELAS7SEMESTER1">'FORMAT ISI'!$E$5:$AB$130</definedName>
    <definedName name="KELAS7SEMESTER2">'FORMAT ISI'!$F$6:$AB$130</definedName>
    <definedName name="KELAS8SEMESTER1">'FORMAT ISI'!$G$7:$AB$130</definedName>
    <definedName name="KELAS8SEMESTER2">'FORMAT ISI'!$H$8:$AB$130</definedName>
    <definedName name="KELAS9SEMESTER1">'FORMAT ISI'!$I$9:$AB$130</definedName>
    <definedName name="KELAS9SEMESTER2">'FORMAT ISI'!$J$10:$AB$130</definedName>
  </definedNames>
  <calcPr calcId="152511"/>
</workbook>
</file>

<file path=xl/calcChain.xml><?xml version="1.0" encoding="utf-8"?>
<calcChain xmlns="http://schemas.openxmlformats.org/spreadsheetml/2006/main">
  <c r="D7" i="3" l="1"/>
  <c r="D10" i="3"/>
  <c r="K8" i="3" l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7" i="3"/>
  <c r="D8" i="3" l="1"/>
  <c r="E8" i="3"/>
  <c r="D9" i="3"/>
  <c r="E9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E7" i="3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P28" i="2"/>
  <c r="O28" i="2"/>
  <c r="N28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P7" i="2"/>
  <c r="O7" i="2"/>
  <c r="N7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37" i="2"/>
  <c r="J37" i="2"/>
  <c r="I38" i="2"/>
  <c r="J38" i="2"/>
  <c r="I39" i="2"/>
  <c r="J39" i="2"/>
  <c r="I40" i="2"/>
  <c r="J40" i="2"/>
  <c r="I41" i="2"/>
  <c r="J41" i="2"/>
  <c r="I42" i="2"/>
  <c r="J42" i="2"/>
  <c r="I43" i="2"/>
  <c r="J43" i="2"/>
  <c r="I44" i="2"/>
  <c r="J44" i="2"/>
  <c r="I45" i="2"/>
  <c r="J45" i="2"/>
  <c r="I46" i="2"/>
  <c r="J46" i="2"/>
  <c r="K46" i="2"/>
  <c r="I47" i="2"/>
  <c r="J47" i="2"/>
  <c r="K47" i="2"/>
  <c r="I48" i="2"/>
  <c r="J48" i="2"/>
  <c r="K48" i="2"/>
  <c r="J28" i="2"/>
  <c r="I28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I20" i="2"/>
  <c r="J20" i="2"/>
  <c r="I21" i="2"/>
  <c r="J21" i="2"/>
  <c r="I22" i="2"/>
  <c r="J22" i="2"/>
  <c r="I23" i="2"/>
  <c r="J23" i="2"/>
  <c r="I24" i="2"/>
  <c r="J24" i="2"/>
  <c r="I25" i="2"/>
  <c r="J25" i="2"/>
  <c r="K25" i="2"/>
  <c r="J7" i="2"/>
  <c r="I7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F46" i="2"/>
  <c r="D47" i="2"/>
  <c r="E47" i="2"/>
  <c r="F47" i="2"/>
  <c r="D48" i="2"/>
  <c r="E48" i="2"/>
  <c r="F48" i="2"/>
  <c r="E28" i="2"/>
  <c r="D28" i="2"/>
  <c r="F25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7" i="2"/>
  <c r="Z6" i="1" l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Y6" i="1" l="1"/>
  <c r="AA6" i="1" s="1"/>
  <c r="Y7" i="1"/>
  <c r="AA7" i="1" s="1"/>
  <c r="Y8" i="1"/>
  <c r="AA8" i="1" s="1"/>
  <c r="Y9" i="1"/>
  <c r="AA9" i="1" s="1"/>
  <c r="Y10" i="1"/>
  <c r="AA10" i="1" s="1"/>
  <c r="Y11" i="1"/>
  <c r="Y12" i="1"/>
  <c r="Y13" i="1"/>
  <c r="Y14" i="1"/>
  <c r="Y15" i="1"/>
  <c r="AA15" i="1" s="1"/>
  <c r="Y16" i="1"/>
  <c r="AA16" i="1" s="1"/>
  <c r="Y17" i="1"/>
  <c r="Y18" i="1"/>
  <c r="Y19" i="1"/>
  <c r="Y20" i="1"/>
  <c r="Y21" i="1"/>
  <c r="AA21" i="1" s="1"/>
  <c r="Y22" i="1"/>
  <c r="AA22" i="1" s="1"/>
  <c r="Y23" i="1"/>
  <c r="Y24" i="1"/>
  <c r="Y25" i="1"/>
  <c r="AA25" i="1" s="1"/>
  <c r="Y26" i="1"/>
  <c r="Y27" i="1"/>
  <c r="AA27" i="1" s="1"/>
  <c r="Y28" i="1"/>
  <c r="AA28" i="1" s="1"/>
  <c r="Y29" i="1"/>
  <c r="Y30" i="1"/>
  <c r="Y31" i="1"/>
  <c r="Y32" i="1"/>
  <c r="Y33" i="1"/>
  <c r="AA33" i="1" s="1"/>
  <c r="Y34" i="1"/>
  <c r="AA34" i="1" s="1"/>
  <c r="Y35" i="1"/>
  <c r="Y36" i="1"/>
  <c r="Y37" i="1"/>
  <c r="Y38" i="1"/>
  <c r="Y39" i="1"/>
  <c r="AA39" i="1" s="1"/>
  <c r="Y40" i="1"/>
  <c r="AA40" i="1" s="1"/>
  <c r="Y41" i="1"/>
  <c r="Y42" i="1"/>
  <c r="Y43" i="1"/>
  <c r="Y44" i="1"/>
  <c r="Y45" i="1"/>
  <c r="AA45" i="1" s="1"/>
  <c r="Y46" i="1"/>
  <c r="AA46" i="1" s="1"/>
  <c r="Y47" i="1"/>
  <c r="Y48" i="1"/>
  <c r="Y49" i="1"/>
  <c r="Y50" i="1"/>
  <c r="Y51" i="1"/>
  <c r="AA51" i="1" s="1"/>
  <c r="Y52" i="1"/>
  <c r="AA52" i="1" s="1"/>
  <c r="Y53" i="1"/>
  <c r="AA53" i="1" s="1"/>
  <c r="K53" i="1" s="1"/>
  <c r="Y54" i="1"/>
  <c r="AA54" i="1" s="1"/>
  <c r="K54" i="1" s="1"/>
  <c r="Y55" i="1"/>
  <c r="AA55" i="1" s="1"/>
  <c r="K55" i="1" s="1"/>
  <c r="Y56" i="1"/>
  <c r="AA56" i="1" s="1"/>
  <c r="K56" i="1" s="1"/>
  <c r="Y57" i="1"/>
  <c r="AA57" i="1" s="1"/>
  <c r="Y58" i="1"/>
  <c r="AA58" i="1" s="1"/>
  <c r="Y59" i="1"/>
  <c r="AA59" i="1" s="1"/>
  <c r="K59" i="1" s="1"/>
  <c r="Y60" i="1"/>
  <c r="AA60" i="1" s="1"/>
  <c r="K60" i="1" s="1"/>
  <c r="Y61" i="1"/>
  <c r="AA61" i="1" s="1"/>
  <c r="K61" i="1" s="1"/>
  <c r="Y62" i="1"/>
  <c r="AA62" i="1" s="1"/>
  <c r="K62" i="1" s="1"/>
  <c r="Y63" i="1"/>
  <c r="AA63" i="1" s="1"/>
  <c r="Y64" i="1"/>
  <c r="AA64" i="1" s="1"/>
  <c r="Y65" i="1"/>
  <c r="AA65" i="1" s="1"/>
  <c r="K65" i="1" s="1"/>
  <c r="Y66" i="1"/>
  <c r="AA66" i="1" s="1"/>
  <c r="K66" i="1" s="1"/>
  <c r="Y67" i="1"/>
  <c r="AA67" i="1" s="1"/>
  <c r="K67" i="1" s="1"/>
  <c r="Y68" i="1"/>
  <c r="AA68" i="1" s="1"/>
  <c r="K68" i="1" s="1"/>
  <c r="Y69" i="1"/>
  <c r="AA69" i="1" s="1"/>
  <c r="Y70" i="1"/>
  <c r="AA70" i="1" s="1"/>
  <c r="Y71" i="1"/>
  <c r="Y72" i="1"/>
  <c r="Y73" i="1"/>
  <c r="Y74" i="1"/>
  <c r="Y75" i="1"/>
  <c r="AA75" i="1" s="1"/>
  <c r="Y76" i="1"/>
  <c r="AA76" i="1" s="1"/>
  <c r="Y77" i="1"/>
  <c r="Y78" i="1"/>
  <c r="Y79" i="1"/>
  <c r="Y80" i="1"/>
  <c r="Y81" i="1"/>
  <c r="AA81" i="1" s="1"/>
  <c r="Y82" i="1"/>
  <c r="AA82" i="1" s="1"/>
  <c r="Y83" i="1"/>
  <c r="Y84" i="1"/>
  <c r="Y85" i="1"/>
  <c r="Y86" i="1"/>
  <c r="Y87" i="1"/>
  <c r="AA87" i="1" s="1"/>
  <c r="Y88" i="1"/>
  <c r="AA88" i="1" s="1"/>
  <c r="Y89" i="1"/>
  <c r="Y90" i="1"/>
  <c r="Y91" i="1"/>
  <c r="Y92" i="1"/>
  <c r="Y93" i="1"/>
  <c r="AA93" i="1" s="1"/>
  <c r="Y94" i="1"/>
  <c r="AA94" i="1" s="1"/>
  <c r="Y95" i="1"/>
  <c r="Y96" i="1"/>
  <c r="Y97" i="1"/>
  <c r="Y98" i="1"/>
  <c r="Y99" i="1"/>
  <c r="AA99" i="1" s="1"/>
  <c r="Y100" i="1"/>
  <c r="AA100" i="1" s="1"/>
  <c r="Y101" i="1"/>
  <c r="Y102" i="1"/>
  <c r="Y103" i="1"/>
  <c r="Y104" i="1"/>
  <c r="Y105" i="1"/>
  <c r="AA105" i="1" s="1"/>
  <c r="Y106" i="1"/>
  <c r="AA106" i="1" s="1"/>
  <c r="Y107" i="1"/>
  <c r="Y108" i="1"/>
  <c r="Y109" i="1"/>
  <c r="Y110" i="1"/>
  <c r="Y111" i="1"/>
  <c r="AA111" i="1" s="1"/>
  <c r="Y112" i="1"/>
  <c r="AA112" i="1" s="1"/>
  <c r="Y113" i="1"/>
  <c r="AA113" i="1" s="1"/>
  <c r="Y114" i="1"/>
  <c r="AA114" i="1" s="1"/>
  <c r="Y115" i="1"/>
  <c r="AA115" i="1" s="1"/>
  <c r="Y116" i="1"/>
  <c r="AA116" i="1" s="1"/>
  <c r="Y117" i="1"/>
  <c r="AA117" i="1" s="1"/>
  <c r="Y118" i="1"/>
  <c r="AA118" i="1" s="1"/>
  <c r="Y119" i="1"/>
  <c r="AA119" i="1" s="1"/>
  <c r="Y120" i="1"/>
  <c r="AA120" i="1" s="1"/>
  <c r="Y121" i="1"/>
  <c r="AA121" i="1" s="1"/>
  <c r="Y122" i="1"/>
  <c r="AA122" i="1" s="1"/>
  <c r="Y123" i="1"/>
  <c r="AA123" i="1" s="1"/>
  <c r="Y124" i="1"/>
  <c r="AA124" i="1" s="1"/>
  <c r="Y125" i="1"/>
  <c r="AA125" i="1" s="1"/>
  <c r="Y126" i="1"/>
  <c r="AA126" i="1" s="1"/>
  <c r="Y127" i="1"/>
  <c r="AA127" i="1" s="1"/>
  <c r="Y128" i="1"/>
  <c r="AA128" i="1" s="1"/>
  <c r="Y129" i="1"/>
  <c r="AA129" i="1" s="1"/>
  <c r="Y130" i="1"/>
  <c r="AA130" i="1" s="1"/>
  <c r="AA101" i="1" l="1"/>
  <c r="K101" i="1" s="1"/>
  <c r="AA97" i="1"/>
  <c r="K97" i="1" s="1"/>
  <c r="AA89" i="1"/>
  <c r="K89" i="1" s="1"/>
  <c r="AA85" i="1"/>
  <c r="K85" i="1" s="1"/>
  <c r="K16" i="2"/>
  <c r="H16" i="3"/>
  <c r="F15" i="2"/>
  <c r="F15" i="3"/>
  <c r="K49" i="1"/>
  <c r="AA49" i="1"/>
  <c r="AA17" i="1"/>
  <c r="K17" i="1" s="1"/>
  <c r="K108" i="1"/>
  <c r="AA108" i="1"/>
  <c r="AA104" i="1"/>
  <c r="K104" i="1" s="1"/>
  <c r="K96" i="1"/>
  <c r="AA96" i="1"/>
  <c r="AA92" i="1"/>
  <c r="K92" i="1" s="1"/>
  <c r="K84" i="1"/>
  <c r="AA84" i="1"/>
  <c r="AA80" i="1"/>
  <c r="K80" i="1" s="1"/>
  <c r="K72" i="1"/>
  <c r="AA72" i="1"/>
  <c r="K38" i="2"/>
  <c r="I17" i="3"/>
  <c r="K36" i="2"/>
  <c r="I15" i="3"/>
  <c r="AA48" i="1"/>
  <c r="K48" i="1" s="1"/>
  <c r="K44" i="1"/>
  <c r="AA44" i="1"/>
  <c r="AA36" i="1"/>
  <c r="K36" i="1" s="1"/>
  <c r="K32" i="1"/>
  <c r="AA32" i="1"/>
  <c r="AA20" i="1"/>
  <c r="K20" i="1" s="1"/>
  <c r="K12" i="1"/>
  <c r="AA12" i="1"/>
  <c r="AA109" i="1"/>
  <c r="K109" i="1" s="1"/>
  <c r="K77" i="1"/>
  <c r="AA77" i="1"/>
  <c r="AA73" i="1"/>
  <c r="K73" i="1" s="1"/>
  <c r="F17" i="2"/>
  <c r="F17" i="3"/>
  <c r="AA41" i="1"/>
  <c r="K41" i="1" s="1"/>
  <c r="K37" i="1"/>
  <c r="AA37" i="1"/>
  <c r="AA29" i="1"/>
  <c r="K29" i="1" s="1"/>
  <c r="K13" i="1"/>
  <c r="AA13" i="1"/>
  <c r="AA107" i="1"/>
  <c r="K107" i="1" s="1"/>
  <c r="K103" i="1"/>
  <c r="AA103" i="1"/>
  <c r="AA95" i="1"/>
  <c r="K95" i="1" s="1"/>
  <c r="K83" i="1"/>
  <c r="AA83" i="1"/>
  <c r="AA79" i="1"/>
  <c r="K79" i="1" s="1"/>
  <c r="K71" i="1"/>
  <c r="AA71" i="1"/>
  <c r="K17" i="2"/>
  <c r="H17" i="3"/>
  <c r="F16" i="2"/>
  <c r="F16" i="3"/>
  <c r="K15" i="2"/>
  <c r="H15" i="3"/>
  <c r="K47" i="1"/>
  <c r="AA47" i="1"/>
  <c r="AA43" i="1"/>
  <c r="K43" i="1" s="1"/>
  <c r="K35" i="1"/>
  <c r="AA35" i="1"/>
  <c r="AA31" i="1"/>
  <c r="K31" i="1" s="1"/>
  <c r="K19" i="1"/>
  <c r="AA19" i="1"/>
  <c r="AA11" i="1"/>
  <c r="K11" i="1" s="1"/>
  <c r="K110" i="1"/>
  <c r="AA110" i="1"/>
  <c r="AA102" i="1"/>
  <c r="K102" i="1" s="1"/>
  <c r="K98" i="1"/>
  <c r="AA98" i="1"/>
  <c r="AA90" i="1"/>
  <c r="K90" i="1" s="1"/>
  <c r="K86" i="1"/>
  <c r="AA86" i="1"/>
  <c r="AA78" i="1"/>
  <c r="K78" i="1" s="1"/>
  <c r="K74" i="1"/>
  <c r="AA74" i="1"/>
  <c r="F38" i="2"/>
  <c r="G17" i="3"/>
  <c r="K37" i="2"/>
  <c r="I16" i="3"/>
  <c r="F36" i="2"/>
  <c r="G15" i="3"/>
  <c r="K50" i="1"/>
  <c r="AA50" i="1"/>
  <c r="AA42" i="1"/>
  <c r="K42" i="1" s="1"/>
  <c r="K38" i="1"/>
  <c r="AA38" i="1"/>
  <c r="AA30" i="1"/>
  <c r="K30" i="1" s="1"/>
  <c r="K18" i="1"/>
  <c r="AA18" i="1"/>
  <c r="AA14" i="1"/>
  <c r="K14" i="1" s="1"/>
  <c r="AA24" i="1"/>
  <c r="K24" i="1" s="1"/>
  <c r="AA23" i="1"/>
  <c r="K23" i="1" s="1"/>
  <c r="AA26" i="1"/>
  <c r="K26" i="1" s="1"/>
  <c r="K25" i="1"/>
  <c r="AA91" i="1"/>
  <c r="K91" i="1" s="1"/>
  <c r="F37" i="2"/>
  <c r="G16" i="3"/>
  <c r="K6" i="1"/>
  <c r="K7" i="1"/>
  <c r="K8" i="1"/>
  <c r="Z5" i="1"/>
  <c r="Y5" i="1"/>
  <c r="K29" i="2" l="1"/>
  <c r="I8" i="3"/>
  <c r="F40" i="2"/>
  <c r="G19" i="3"/>
  <c r="F24" i="2"/>
  <c r="F24" i="3"/>
  <c r="K40" i="2"/>
  <c r="I19" i="3"/>
  <c r="F34" i="2"/>
  <c r="G13" i="3"/>
  <c r="F8" i="2"/>
  <c r="F8" i="3"/>
  <c r="F22" i="2"/>
  <c r="F22" i="3"/>
  <c r="K18" i="2"/>
  <c r="H18" i="3"/>
  <c r="F35" i="2"/>
  <c r="G14" i="3"/>
  <c r="F9" i="2"/>
  <c r="F9" i="3"/>
  <c r="F21" i="2"/>
  <c r="F21" i="3"/>
  <c r="K11" i="2"/>
  <c r="H11" i="3"/>
  <c r="K24" i="2"/>
  <c r="H24" i="3"/>
  <c r="K20" i="2"/>
  <c r="H20" i="3"/>
  <c r="F32" i="2"/>
  <c r="G11" i="3"/>
  <c r="F44" i="2"/>
  <c r="G23" i="3"/>
  <c r="K19" i="2"/>
  <c r="H19" i="3"/>
  <c r="F13" i="2"/>
  <c r="F13" i="3"/>
  <c r="F33" i="2"/>
  <c r="G12" i="3"/>
  <c r="K44" i="2"/>
  <c r="I23" i="3"/>
  <c r="K22" i="2"/>
  <c r="H22" i="3"/>
  <c r="F42" i="2"/>
  <c r="G21" i="3"/>
  <c r="K13" i="2"/>
  <c r="H13" i="3"/>
  <c r="F11" i="2"/>
  <c r="F11" i="3"/>
  <c r="K30" i="2"/>
  <c r="I9" i="3"/>
  <c r="K42" i="2"/>
  <c r="I21" i="3"/>
  <c r="F23" i="2"/>
  <c r="F23" i="3"/>
  <c r="AA5" i="1"/>
  <c r="K5" i="1" s="1"/>
  <c r="N15" i="3"/>
  <c r="O15" i="3" s="1"/>
  <c r="L15" i="3"/>
  <c r="M15" i="3" s="1"/>
  <c r="L16" i="3"/>
  <c r="M16" i="3" s="1"/>
  <c r="F28" i="2"/>
  <c r="G7" i="3"/>
  <c r="K28" i="2"/>
  <c r="I7" i="3"/>
  <c r="N16" i="3"/>
  <c r="O16" i="3" s="1"/>
  <c r="N17" i="3"/>
  <c r="O17" i="3" s="1"/>
  <c r="L17" i="3"/>
  <c r="M17" i="3" s="1"/>
  <c r="K7" i="2"/>
  <c r="H7" i="3"/>
  <c r="F30" i="2"/>
  <c r="G9" i="3"/>
  <c r="K33" i="2"/>
  <c r="I12" i="3"/>
  <c r="K35" i="2"/>
  <c r="I14" i="3"/>
  <c r="K39" i="2"/>
  <c r="I18" i="3"/>
  <c r="K41" i="2"/>
  <c r="I20" i="3"/>
  <c r="K43" i="2"/>
  <c r="I22" i="3"/>
  <c r="K45" i="2"/>
  <c r="I24" i="3"/>
  <c r="K9" i="2"/>
  <c r="H9" i="3"/>
  <c r="F12" i="2"/>
  <c r="F12" i="3"/>
  <c r="F14" i="2"/>
  <c r="F14" i="3"/>
  <c r="F18" i="2"/>
  <c r="F18" i="3"/>
  <c r="F20" i="2"/>
  <c r="F20" i="3"/>
  <c r="K23" i="2"/>
  <c r="H23" i="3"/>
  <c r="K8" i="2"/>
  <c r="H8" i="3"/>
  <c r="K12" i="2"/>
  <c r="H12" i="3"/>
  <c r="F19" i="2"/>
  <c r="F19" i="3"/>
  <c r="F29" i="2"/>
  <c r="G8" i="3"/>
  <c r="K32" i="2"/>
  <c r="I11" i="3"/>
  <c r="K34" i="2"/>
  <c r="I13" i="3"/>
  <c r="F39" i="2"/>
  <c r="G18" i="3"/>
  <c r="F41" i="2"/>
  <c r="G20" i="3"/>
  <c r="F43" i="2"/>
  <c r="G22" i="3"/>
  <c r="F45" i="2"/>
  <c r="G24" i="3"/>
  <c r="K14" i="2"/>
  <c r="H14" i="3"/>
  <c r="F31" i="2"/>
  <c r="G10" i="3"/>
  <c r="F10" i="2"/>
  <c r="F10" i="3"/>
  <c r="N10" i="3" s="1"/>
  <c r="O10" i="3" s="1"/>
  <c r="K31" i="2"/>
  <c r="I10" i="3"/>
  <c r="K10" i="2"/>
  <c r="H10" i="3"/>
  <c r="L10" i="3" s="1"/>
  <c r="M10" i="3" s="1"/>
  <c r="K21" i="2"/>
  <c r="H21" i="3"/>
  <c r="F7" i="3" l="1"/>
  <c r="F7" i="2"/>
  <c r="L20" i="3"/>
  <c r="M20" i="3" s="1"/>
  <c r="N20" i="3"/>
  <c r="O20" i="3" s="1"/>
  <c r="N13" i="3"/>
  <c r="O13" i="3" s="1"/>
  <c r="L13" i="3"/>
  <c r="M13" i="3" s="1"/>
  <c r="L9" i="3"/>
  <c r="M9" i="3" s="1"/>
  <c r="N9" i="3"/>
  <c r="O9" i="3" s="1"/>
  <c r="N8" i="3"/>
  <c r="O8" i="3" s="1"/>
  <c r="L8" i="3"/>
  <c r="M8" i="3" s="1"/>
  <c r="N19" i="3"/>
  <c r="O19" i="3" s="1"/>
  <c r="L19" i="3"/>
  <c r="M19" i="3" s="1"/>
  <c r="L14" i="3"/>
  <c r="M14" i="3" s="1"/>
  <c r="N14" i="3"/>
  <c r="O14" i="3" s="1"/>
  <c r="N11" i="3"/>
  <c r="O11" i="3" s="1"/>
  <c r="L11" i="3"/>
  <c r="M11" i="3" s="1"/>
  <c r="L21" i="3"/>
  <c r="M21" i="3" s="1"/>
  <c r="L18" i="3"/>
  <c r="M18" i="3" s="1"/>
  <c r="N18" i="3"/>
  <c r="O18" i="3" s="1"/>
  <c r="L12" i="3"/>
  <c r="M12" i="3" s="1"/>
  <c r="N12" i="3"/>
  <c r="O12" i="3" s="1"/>
  <c r="N23" i="3"/>
  <c r="O23" i="3" s="1"/>
  <c r="L23" i="3"/>
  <c r="M23" i="3" s="1"/>
  <c r="N21" i="3"/>
  <c r="O21" i="3" s="1"/>
  <c r="L22" i="3"/>
  <c r="M22" i="3" s="1"/>
  <c r="N22" i="3"/>
  <c r="O22" i="3" s="1"/>
  <c r="L24" i="3"/>
  <c r="M24" i="3" s="1"/>
  <c r="N24" i="3"/>
  <c r="O24" i="3" s="1"/>
  <c r="N7" i="3" l="1"/>
  <c r="O7" i="3" s="1"/>
  <c r="L7" i="3"/>
  <c r="M7" i="3" s="1"/>
</calcChain>
</file>

<file path=xl/sharedStrings.xml><?xml version="1.0" encoding="utf-8"?>
<sst xmlns="http://schemas.openxmlformats.org/spreadsheetml/2006/main" count="596" uniqueCount="71">
  <si>
    <t>KODE</t>
  </si>
  <si>
    <t>NO</t>
  </si>
  <si>
    <t>KELAS</t>
  </si>
  <si>
    <t>GURU/PEMEGANG</t>
  </si>
  <si>
    <t>JUDUL BUKU/MAPEL</t>
  </si>
  <si>
    <t>ILMU PENGETAHUAN ALAM</t>
  </si>
  <si>
    <t>SEMESTER</t>
  </si>
  <si>
    <t>VIII</t>
  </si>
  <si>
    <t>I</t>
  </si>
  <si>
    <t>MAYA JUNITA, S.Pd</t>
  </si>
  <si>
    <t>PENERBIT</t>
  </si>
  <si>
    <t>Pusat Kurikulum dan Perbukuan, Balitbang,Kemendikbud</t>
  </si>
  <si>
    <t>JML HAL</t>
  </si>
  <si>
    <t>II</t>
  </si>
  <si>
    <t>VII</t>
  </si>
  <si>
    <t>PENDIDIKAN JASMANI, OLAHRAGA, DAN KESEHATAN</t>
  </si>
  <si>
    <t>I-II</t>
  </si>
  <si>
    <t>ROBI SANANA</t>
  </si>
  <si>
    <t>KURIKULUM</t>
  </si>
  <si>
    <t>EDISI</t>
  </si>
  <si>
    <t>REVISI 2017</t>
  </si>
  <si>
    <t>BAHASA INGGRIS</t>
  </si>
  <si>
    <t>REVISI 2016</t>
  </si>
  <si>
    <t>RANGGA ABDURRASYID</t>
  </si>
  <si>
    <t>MATEMATIKA</t>
  </si>
  <si>
    <t>YAYU RAMDIANI F, S.Pd.I</t>
  </si>
  <si>
    <t>PRAKARYA</t>
  </si>
  <si>
    <t>SABAR</t>
  </si>
  <si>
    <t>DAFTAR BUKU PEGANGAN/SUMBER BELAJAR (GURU DAN SISWA)</t>
  </si>
  <si>
    <t>KET</t>
  </si>
  <si>
    <t>KEADAAN</t>
  </si>
  <si>
    <t>NAMA BUKU</t>
  </si>
  <si>
    <t>FIQIH</t>
  </si>
  <si>
    <t>AKIDAH AHLAK</t>
  </si>
  <si>
    <t>PKN</t>
  </si>
  <si>
    <t>AL-QUR'AN HADITS</t>
  </si>
  <si>
    <t>TIK</t>
  </si>
  <si>
    <t>DEDE HASAN MUHAEMIN</t>
  </si>
  <si>
    <t>KITAB KUNING</t>
  </si>
  <si>
    <t>SKI KELAS 8</t>
  </si>
  <si>
    <t>DEVI SUGIYANTI, S.Pd</t>
  </si>
  <si>
    <t>FIKI RAHMATIKA</t>
  </si>
  <si>
    <t>B. ARAB</t>
  </si>
  <si>
    <t>PERCAKAPAN</t>
  </si>
  <si>
    <t>B. INDONESIA</t>
  </si>
  <si>
    <t>RISMA MARTINDA</t>
  </si>
  <si>
    <t>SENI BUDAYA</t>
  </si>
  <si>
    <t>SRI NURHAYATI, S.Pd</t>
  </si>
  <si>
    <t>SKI KELAS 7</t>
  </si>
  <si>
    <t>PUSTAKA JAYA</t>
  </si>
  <si>
    <t>SUHENDAR TANUWIJAYA</t>
  </si>
  <si>
    <t>AGUS SAEBATULHAMDI</t>
  </si>
  <si>
    <t>ANDRI RIFQI HIDAYAT</t>
  </si>
  <si>
    <t>UJANG SUHANDI</t>
  </si>
  <si>
    <t>Drs.H.U BADRUSALAM, S.Ag M.M</t>
  </si>
  <si>
    <t>M RANGGA ABDURRASYID</t>
  </si>
  <si>
    <t>RANRAN AGUSTIAN, S.Pd.I</t>
  </si>
  <si>
    <t>UJANG SAEBATULHAMDI, S.Pd.I</t>
  </si>
  <si>
    <t>BASA SUNDA</t>
  </si>
  <si>
    <t>IX</t>
  </si>
  <si>
    <t>REVISI 2018</t>
  </si>
  <si>
    <t>SKI</t>
  </si>
  <si>
    <t>DAFTAR BUKU PEGANGAN/SUMBER BELAJAR GURU DAN SISWA KELAS VII</t>
  </si>
  <si>
    <t>KETERANGAN</t>
  </si>
  <si>
    <t>SEMSESTER 1</t>
  </si>
  <si>
    <t>SEMSESTER 2</t>
  </si>
  <si>
    <t>GURU PEMEGANG</t>
  </si>
  <si>
    <t>DAFTAR BUKU PEGANGAN/SUMBER BELAJAR GURU DAN SISWA KELAS VIII</t>
  </si>
  <si>
    <t>DAFTAR BUKU PEGANGAN/SUMBER BELAJAR GURU DAN SISWA KELAS IX</t>
  </si>
  <si>
    <t>JML</t>
  </si>
  <si>
    <t>ILMU PENGETAHUAN SOSIAL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</si>
</sst>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2" formatCode="_(&quot;Rp&quot;* #,##0_);_(&quot;Rp&quot;* \(#,##0\);_(&quot;Rp&quot;* &quot;-&quot;_);_(@_)"/>
  </numFmts>
  <fonts count="7" x14ac:knownFonts="1">
    <font>
      <sz val="11"/>
      <color theme="1"/>
      <name val="Calibri"/>
      <family val="2"/>
      <charset val="1"/>
      <scheme val="minor"/>
    </font>
    <font>
      <sz val="16"/>
      <color theme="1"/>
      <name val="Arial Black"/>
      <family val="2"/>
    </font>
    <font>
      <sz val="11"/>
      <color theme="1"/>
      <name val="Arial Rounded MT Bold"/>
      <family val="2"/>
    </font>
    <font>
      <sz val="5"/>
      <color theme="1"/>
      <name val="Calibri"/>
      <family val="2"/>
      <charset val="1"/>
      <scheme val="minor"/>
    </font>
    <font>
      <sz val="14"/>
      <color theme="1"/>
      <name val="Bodoni MT Condensed"/>
      <family val="1"/>
    </font>
    <font>
      <sz val="11"/>
      <color theme="1"/>
      <name val="Calibri"/>
      <family val="2"/>
      <scheme val="minor"/>
    </font>
    <font>
      <sz val="11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2" fontId="5" fillId="0" borderId="0" applyFont="0" applyFill="0" applyBorder="0" applyAlignment="0" applyProtection="0"/>
    <xf numFmtId="0" fontId="5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0" xfId="0" applyFill="1"/>
    <xf numFmtId="0" fontId="0" fillId="0" borderId="1" xfId="0" applyFont="1" applyBorder="1" applyAlignment="1">
      <alignment horizontal="left" vertical="center" wrapText="1"/>
    </xf>
    <xf numFmtId="0" fontId="1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2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</cellXfs>
  <cellStyles count="3">
    <cellStyle name="Currency [0] 2" xfId="1"/>
    <cellStyle name="Normal" xfId="0" builtinId="0"/>
    <cellStyle name="Normal 2" xfId="2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border>
        <bottom style="thin">
          <color rgb="FFFF0000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border>
        <bottom style="thin">
          <color rgb="FFFF0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28"/>
  <sheetViews>
    <sheetView tabSelected="1" topLeftCell="L2" workbookViewId="0">
      <pane ySplit="3" topLeftCell="A5" activePane="bottomLeft" state="frozen"/>
      <selection activeCell="D2" sqref="D2"/>
      <selection pane="bottomLeft" activeCell="S12" sqref="S12"/>
    </sheetView>
  </sheetViews>
  <sheetFormatPr defaultRowHeight="15" x14ac:dyDescent="0.25"/>
  <cols>
    <col min="1" max="3" width="9.140625" style="1" hidden="1" customWidth="1"/>
    <col min="4" max="4" width="4.5703125" style="1" customWidth="1"/>
    <col min="5" max="5" width="3.5703125" style="8" customWidth="1"/>
    <col min="6" max="6" width="3.5703125" style="12" customWidth="1"/>
    <col min="7" max="10" width="3.5703125" style="8" customWidth="1"/>
    <col min="11" max="12" width="5.28515625" style="8" customWidth="1"/>
    <col min="13" max="13" width="5" style="1" customWidth="1"/>
    <col min="14" max="14" width="27.28515625" style="3" customWidth="1"/>
    <col min="15" max="15" width="8.85546875" style="1" customWidth="1"/>
    <col min="16" max="16" width="13.140625" style="1" customWidth="1"/>
    <col min="17" max="17" width="10.5703125" style="1" customWidth="1"/>
    <col min="18" max="18" width="14.5703125" style="1" customWidth="1"/>
    <col min="19" max="19" width="11.5703125" style="1" customWidth="1"/>
    <col min="20" max="20" width="24" style="3" customWidth="1"/>
    <col min="21" max="21" width="24.42578125" style="3" customWidth="1"/>
    <col min="22" max="22" width="1.5703125" style="3" customWidth="1"/>
    <col min="23" max="23" width="1.28515625" style="3" customWidth="1"/>
    <col min="24" max="24" width="1.28515625" style="1" customWidth="1"/>
    <col min="25" max="25" width="4.5703125" style="1" customWidth="1"/>
    <col min="26" max="26" width="25.7109375" style="2" customWidth="1"/>
    <col min="27" max="27" width="11" style="3" customWidth="1"/>
    <col min="28" max="16384" width="9.140625" style="1"/>
  </cols>
  <sheetData>
    <row r="1" spans="4:28" s="29" customFormat="1" hidden="1" x14ac:dyDescent="0.25">
      <c r="E1" s="12">
        <v>1</v>
      </c>
      <c r="F1" s="12">
        <v>2</v>
      </c>
      <c r="G1" s="12">
        <v>3</v>
      </c>
      <c r="H1" s="12">
        <v>4</v>
      </c>
      <c r="I1" s="12">
        <v>5</v>
      </c>
      <c r="J1" s="12">
        <v>6</v>
      </c>
      <c r="K1" s="12">
        <v>7</v>
      </c>
      <c r="L1" s="12">
        <v>8</v>
      </c>
      <c r="M1" s="12">
        <v>9</v>
      </c>
      <c r="N1" s="12">
        <v>10</v>
      </c>
      <c r="O1" s="12">
        <v>11</v>
      </c>
      <c r="P1" s="12">
        <v>12</v>
      </c>
      <c r="Q1" s="12">
        <v>13</v>
      </c>
      <c r="R1" s="12">
        <v>14</v>
      </c>
      <c r="S1" s="12">
        <v>15</v>
      </c>
      <c r="T1" s="12">
        <v>16</v>
      </c>
      <c r="U1" s="12">
        <v>17</v>
      </c>
      <c r="V1" s="12">
        <v>18</v>
      </c>
      <c r="W1" s="12">
        <v>19</v>
      </c>
      <c r="X1" s="12">
        <v>20</v>
      </c>
      <c r="Y1" s="12">
        <v>21</v>
      </c>
      <c r="Z1" s="12">
        <v>22</v>
      </c>
      <c r="AA1" s="12">
        <v>23</v>
      </c>
      <c r="AB1" s="12">
        <v>24</v>
      </c>
    </row>
    <row r="2" spans="4:28" ht="1.5" customHeight="1" x14ac:dyDescent="0.25"/>
    <row r="3" spans="4:28" ht="24.75" x14ac:dyDescent="0.25">
      <c r="D3" s="53" t="s">
        <v>28</v>
      </c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5"/>
      <c r="V3" s="22"/>
      <c r="W3" s="22"/>
    </row>
    <row r="4" spans="4:28" x14ac:dyDescent="0.25">
      <c r="D4" s="4" t="s">
        <v>1</v>
      </c>
      <c r="E4" s="56" t="s">
        <v>0</v>
      </c>
      <c r="F4" s="56"/>
      <c r="G4" s="56"/>
      <c r="H4" s="56"/>
      <c r="I4" s="56"/>
      <c r="J4" s="56"/>
      <c r="K4" s="16" t="s">
        <v>29</v>
      </c>
      <c r="L4" s="16"/>
      <c r="M4" s="16"/>
      <c r="N4" s="5" t="s">
        <v>4</v>
      </c>
      <c r="O4" s="4" t="s">
        <v>2</v>
      </c>
      <c r="P4" s="4" t="s">
        <v>6</v>
      </c>
      <c r="Q4" s="4" t="s">
        <v>12</v>
      </c>
      <c r="R4" s="4" t="s">
        <v>18</v>
      </c>
      <c r="S4" s="4" t="s">
        <v>19</v>
      </c>
      <c r="T4" s="5" t="s">
        <v>10</v>
      </c>
      <c r="U4" s="5" t="s">
        <v>3</v>
      </c>
      <c r="V4" s="23"/>
      <c r="W4" s="23"/>
      <c r="Y4" s="17" t="s">
        <v>29</v>
      </c>
      <c r="Z4" s="17" t="s">
        <v>31</v>
      </c>
      <c r="AA4" s="6" t="s">
        <v>30</v>
      </c>
      <c r="AB4" s="17"/>
    </row>
    <row r="5" spans="4:28" x14ac:dyDescent="0.25">
      <c r="D5" s="49">
        <v>1</v>
      </c>
      <c r="E5" s="11">
        <v>1</v>
      </c>
      <c r="F5" s="11"/>
      <c r="G5" s="11"/>
      <c r="H5" s="11"/>
      <c r="I5" s="11"/>
      <c r="J5" s="11"/>
      <c r="K5" s="7" t="str">
        <f>AA5</f>
        <v>N</v>
      </c>
      <c r="L5" s="7"/>
      <c r="M5" s="10">
        <v>1</v>
      </c>
      <c r="N5" s="9" t="s">
        <v>33</v>
      </c>
      <c r="O5" s="9" t="s">
        <v>14</v>
      </c>
      <c r="P5" s="9" t="s">
        <v>8</v>
      </c>
      <c r="Q5" s="9"/>
      <c r="R5" s="9"/>
      <c r="S5" s="9"/>
      <c r="T5" s="6"/>
      <c r="U5" s="6" t="s">
        <v>51</v>
      </c>
      <c r="V5" s="24"/>
      <c r="W5" s="24"/>
      <c r="Y5" s="17">
        <f>COUNTA(M5:U5)</f>
        <v>5</v>
      </c>
      <c r="Z5" s="21" t="str">
        <f>N5</f>
        <v>AKIDAH AHLAK</v>
      </c>
      <c r="AA5" s="6" t="str">
        <f>IF(Y5=9,"Y","N")</f>
        <v>N</v>
      </c>
      <c r="AB5" s="17"/>
    </row>
    <row r="6" spans="4:28" x14ac:dyDescent="0.25">
      <c r="D6" s="50"/>
      <c r="E6" s="11"/>
      <c r="F6" s="11">
        <v>1</v>
      </c>
      <c r="G6" s="11"/>
      <c r="H6" s="11"/>
      <c r="I6" s="11"/>
      <c r="J6" s="11"/>
      <c r="K6" s="7" t="str">
        <f>AA6</f>
        <v>N</v>
      </c>
      <c r="L6" s="7"/>
      <c r="M6" s="10">
        <v>2</v>
      </c>
      <c r="N6" s="9" t="s">
        <v>33</v>
      </c>
      <c r="O6" s="9" t="s">
        <v>14</v>
      </c>
      <c r="P6" s="9" t="s">
        <v>13</v>
      </c>
      <c r="Q6" s="9"/>
      <c r="R6" s="9"/>
      <c r="S6" s="9"/>
      <c r="T6" s="6"/>
      <c r="U6" s="6" t="s">
        <v>51</v>
      </c>
      <c r="V6" s="24"/>
      <c r="W6" s="24"/>
      <c r="Y6" s="17">
        <f t="shared" ref="Y6:Y69" si="0">COUNTA(M6:U6)</f>
        <v>5</v>
      </c>
      <c r="Z6" s="21" t="str">
        <f t="shared" ref="Z6:Z69" si="1">N6</f>
        <v>AKIDAH AHLAK</v>
      </c>
      <c r="AA6" s="6" t="str">
        <f t="shared" ref="AA6:AA69" si="2">IF(Y6=9,"Y","N")</f>
        <v>N</v>
      </c>
      <c r="AB6" s="17"/>
    </row>
    <row r="7" spans="4:28" x14ac:dyDescent="0.25">
      <c r="D7" s="50"/>
      <c r="E7" s="11"/>
      <c r="F7" s="11"/>
      <c r="G7" s="11">
        <v>1</v>
      </c>
      <c r="H7" s="11"/>
      <c r="I7" s="11"/>
      <c r="J7" s="11"/>
      <c r="K7" s="7" t="str">
        <f>AA7</f>
        <v>N</v>
      </c>
      <c r="L7" s="7"/>
      <c r="M7" s="10">
        <v>3</v>
      </c>
      <c r="N7" s="9" t="s">
        <v>33</v>
      </c>
      <c r="O7" s="9" t="s">
        <v>7</v>
      </c>
      <c r="P7" s="9" t="s">
        <v>8</v>
      </c>
      <c r="Q7" s="9"/>
      <c r="R7" s="9"/>
      <c r="S7" s="9"/>
      <c r="T7" s="6"/>
      <c r="U7" s="6" t="s">
        <v>51</v>
      </c>
      <c r="V7" s="24"/>
      <c r="W7" s="24"/>
      <c r="Y7" s="17">
        <f t="shared" si="0"/>
        <v>5</v>
      </c>
      <c r="Z7" s="21" t="str">
        <f t="shared" si="1"/>
        <v>AKIDAH AHLAK</v>
      </c>
      <c r="AA7" s="6" t="str">
        <f t="shared" si="2"/>
        <v>N</v>
      </c>
      <c r="AB7" s="17"/>
    </row>
    <row r="8" spans="4:28" x14ac:dyDescent="0.25">
      <c r="D8" s="50"/>
      <c r="E8" s="13"/>
      <c r="F8" s="11"/>
      <c r="G8" s="11"/>
      <c r="H8" s="11">
        <v>1</v>
      </c>
      <c r="I8" s="11"/>
      <c r="J8" s="11"/>
      <c r="K8" s="7" t="str">
        <f>AA8</f>
        <v>N</v>
      </c>
      <c r="L8" s="7"/>
      <c r="M8" s="10">
        <v>4</v>
      </c>
      <c r="N8" s="9" t="s">
        <v>33</v>
      </c>
      <c r="O8" s="9" t="s">
        <v>7</v>
      </c>
      <c r="P8" s="9" t="s">
        <v>13</v>
      </c>
      <c r="Q8" s="9"/>
      <c r="R8" s="9"/>
      <c r="S8" s="9"/>
      <c r="T8" s="6"/>
      <c r="U8" s="6" t="s">
        <v>51</v>
      </c>
      <c r="V8" s="24"/>
      <c r="W8" s="24"/>
      <c r="Y8" s="17">
        <f t="shared" si="0"/>
        <v>5</v>
      </c>
      <c r="Z8" s="21" t="str">
        <f t="shared" si="1"/>
        <v>AKIDAH AHLAK</v>
      </c>
      <c r="AA8" s="6" t="str">
        <f t="shared" si="2"/>
        <v>N</v>
      </c>
      <c r="AB8" s="17"/>
    </row>
    <row r="9" spans="4:28" x14ac:dyDescent="0.25">
      <c r="D9" s="50"/>
      <c r="E9" s="13"/>
      <c r="F9" s="11"/>
      <c r="G9" s="11"/>
      <c r="H9" s="11"/>
      <c r="I9" s="11">
        <v>1</v>
      </c>
      <c r="J9" s="11"/>
      <c r="K9" s="7"/>
      <c r="L9" s="7"/>
      <c r="M9" s="10">
        <v>5</v>
      </c>
      <c r="N9" s="9" t="s">
        <v>33</v>
      </c>
      <c r="O9" s="9" t="s">
        <v>59</v>
      </c>
      <c r="P9" s="9" t="s">
        <v>8</v>
      </c>
      <c r="Q9" s="9"/>
      <c r="R9" s="9"/>
      <c r="S9" s="9"/>
      <c r="T9" s="6"/>
      <c r="U9" s="6" t="s">
        <v>51</v>
      </c>
      <c r="V9" s="24"/>
      <c r="W9" s="24"/>
      <c r="Y9" s="17">
        <f t="shared" si="0"/>
        <v>5</v>
      </c>
      <c r="Z9" s="21" t="str">
        <f t="shared" si="1"/>
        <v>AKIDAH AHLAK</v>
      </c>
      <c r="AA9" s="6" t="str">
        <f t="shared" si="2"/>
        <v>N</v>
      </c>
      <c r="AB9" s="17"/>
    </row>
    <row r="10" spans="4:28" x14ac:dyDescent="0.25">
      <c r="D10" s="51"/>
      <c r="E10" s="13"/>
      <c r="F10" s="11"/>
      <c r="G10" s="11"/>
      <c r="H10" s="11"/>
      <c r="I10" s="11"/>
      <c r="J10" s="11">
        <v>1</v>
      </c>
      <c r="K10" s="7"/>
      <c r="L10" s="7"/>
      <c r="M10" s="10">
        <v>6</v>
      </c>
      <c r="N10" s="9" t="s">
        <v>33</v>
      </c>
      <c r="O10" s="9" t="s">
        <v>59</v>
      </c>
      <c r="P10" s="9" t="s">
        <v>13</v>
      </c>
      <c r="Q10" s="9"/>
      <c r="R10" s="9"/>
      <c r="S10" s="9"/>
      <c r="T10" s="6"/>
      <c r="U10" s="6" t="s">
        <v>51</v>
      </c>
      <c r="V10" s="24"/>
      <c r="W10" s="24"/>
      <c r="Y10" s="17">
        <f t="shared" si="0"/>
        <v>5</v>
      </c>
      <c r="Z10" s="21" t="str">
        <f t="shared" si="1"/>
        <v>AKIDAH AHLAK</v>
      </c>
      <c r="AA10" s="6" t="str">
        <f t="shared" si="2"/>
        <v>N</v>
      </c>
      <c r="AB10" s="17"/>
    </row>
    <row r="11" spans="4:28" x14ac:dyDescent="0.25">
      <c r="D11" s="49">
        <v>2</v>
      </c>
      <c r="E11" s="11">
        <v>2</v>
      </c>
      <c r="F11" s="11"/>
      <c r="G11" s="11"/>
      <c r="H11" s="11"/>
      <c r="I11" s="11"/>
      <c r="J11" s="11"/>
      <c r="K11" s="7" t="str">
        <f>AA11</f>
        <v>N</v>
      </c>
      <c r="L11" s="7"/>
      <c r="M11" s="9">
        <v>1</v>
      </c>
      <c r="N11" s="9" t="s">
        <v>36</v>
      </c>
      <c r="O11" s="9" t="s">
        <v>14</v>
      </c>
      <c r="P11" s="9" t="s">
        <v>8</v>
      </c>
      <c r="Q11" s="9"/>
      <c r="R11" s="9"/>
      <c r="S11" s="9"/>
      <c r="T11" s="6"/>
      <c r="U11" s="6" t="s">
        <v>52</v>
      </c>
      <c r="V11" s="24"/>
      <c r="W11" s="24"/>
      <c r="Y11" s="17">
        <f t="shared" si="0"/>
        <v>5</v>
      </c>
      <c r="Z11" s="21" t="str">
        <f t="shared" si="1"/>
        <v>TIK</v>
      </c>
      <c r="AA11" s="6" t="str">
        <f t="shared" si="2"/>
        <v>N</v>
      </c>
      <c r="AB11" s="17"/>
    </row>
    <row r="12" spans="4:28" x14ac:dyDescent="0.25">
      <c r="D12" s="50"/>
      <c r="E12" s="11"/>
      <c r="F12" s="11">
        <v>2</v>
      </c>
      <c r="G12" s="11"/>
      <c r="H12" s="11"/>
      <c r="I12" s="11"/>
      <c r="J12" s="11"/>
      <c r="K12" s="7" t="str">
        <f>AA12</f>
        <v>N</v>
      </c>
      <c r="L12" s="7"/>
      <c r="M12" s="9">
        <v>2</v>
      </c>
      <c r="N12" s="9" t="s">
        <v>36</v>
      </c>
      <c r="O12" s="9" t="s">
        <v>14</v>
      </c>
      <c r="P12" s="9" t="s">
        <v>13</v>
      </c>
      <c r="Q12" s="9"/>
      <c r="R12" s="9"/>
      <c r="S12" s="9"/>
      <c r="T12" s="6"/>
      <c r="U12" s="6" t="s">
        <v>52</v>
      </c>
      <c r="V12" s="24"/>
      <c r="W12" s="24"/>
      <c r="Y12" s="17">
        <f t="shared" si="0"/>
        <v>5</v>
      </c>
      <c r="Z12" s="21" t="str">
        <f t="shared" si="1"/>
        <v>TIK</v>
      </c>
      <c r="AA12" s="6" t="str">
        <f t="shared" si="2"/>
        <v>N</v>
      </c>
      <c r="AB12" s="17"/>
    </row>
    <row r="13" spans="4:28" x14ac:dyDescent="0.25">
      <c r="D13" s="50"/>
      <c r="E13" s="11"/>
      <c r="F13" s="11"/>
      <c r="G13" s="11">
        <v>2</v>
      </c>
      <c r="H13" s="11"/>
      <c r="I13" s="11"/>
      <c r="J13" s="11"/>
      <c r="K13" s="7" t="str">
        <f>AA13</f>
        <v>N</v>
      </c>
      <c r="L13" s="7"/>
      <c r="M13" s="9">
        <v>3</v>
      </c>
      <c r="N13" s="9" t="s">
        <v>36</v>
      </c>
      <c r="O13" s="9" t="s">
        <v>7</v>
      </c>
      <c r="P13" s="9" t="s">
        <v>8</v>
      </c>
      <c r="Q13" s="9"/>
      <c r="R13" s="9"/>
      <c r="S13" s="9"/>
      <c r="T13" s="6"/>
      <c r="U13" s="6" t="s">
        <v>52</v>
      </c>
      <c r="V13" s="24"/>
      <c r="W13" s="24"/>
      <c r="Y13" s="17">
        <f t="shared" si="0"/>
        <v>5</v>
      </c>
      <c r="Z13" s="21" t="str">
        <f t="shared" si="1"/>
        <v>TIK</v>
      </c>
      <c r="AA13" s="6" t="str">
        <f t="shared" si="2"/>
        <v>N</v>
      </c>
      <c r="AB13" s="17"/>
    </row>
    <row r="14" spans="4:28" x14ac:dyDescent="0.25">
      <c r="D14" s="50"/>
      <c r="E14" s="13"/>
      <c r="F14" s="11"/>
      <c r="G14" s="11"/>
      <c r="H14" s="11">
        <v>2</v>
      </c>
      <c r="I14" s="11"/>
      <c r="J14" s="11"/>
      <c r="K14" s="7" t="str">
        <f>AA14</f>
        <v>N</v>
      </c>
      <c r="L14" s="7"/>
      <c r="M14" s="9">
        <v>4</v>
      </c>
      <c r="N14" s="9" t="s">
        <v>36</v>
      </c>
      <c r="O14" s="9" t="s">
        <v>7</v>
      </c>
      <c r="P14" s="9" t="s">
        <v>13</v>
      </c>
      <c r="Q14" s="9"/>
      <c r="R14" s="9"/>
      <c r="S14" s="9"/>
      <c r="T14" s="6"/>
      <c r="U14" s="6" t="s">
        <v>52</v>
      </c>
      <c r="V14" s="24"/>
      <c r="W14" s="24"/>
      <c r="Y14" s="17">
        <f t="shared" si="0"/>
        <v>5</v>
      </c>
      <c r="Z14" s="21" t="str">
        <f t="shared" si="1"/>
        <v>TIK</v>
      </c>
      <c r="AA14" s="6" t="str">
        <f t="shared" si="2"/>
        <v>N</v>
      </c>
      <c r="AB14" s="17"/>
    </row>
    <row r="15" spans="4:28" x14ac:dyDescent="0.25">
      <c r="D15" s="50"/>
      <c r="E15" s="13"/>
      <c r="F15" s="11"/>
      <c r="G15" s="11"/>
      <c r="H15" s="11"/>
      <c r="I15" s="11">
        <v>2</v>
      </c>
      <c r="J15" s="11"/>
      <c r="K15" s="7"/>
      <c r="L15" s="7"/>
      <c r="M15" s="9">
        <v>5</v>
      </c>
      <c r="N15" s="9" t="s">
        <v>36</v>
      </c>
      <c r="O15" s="9" t="s">
        <v>59</v>
      </c>
      <c r="P15" s="9" t="s">
        <v>8</v>
      </c>
      <c r="Q15" s="9"/>
      <c r="R15" s="9"/>
      <c r="S15" s="9"/>
      <c r="T15" s="6"/>
      <c r="U15" s="6" t="s">
        <v>52</v>
      </c>
      <c r="V15" s="24"/>
      <c r="W15" s="24"/>
      <c r="Y15" s="17">
        <f t="shared" si="0"/>
        <v>5</v>
      </c>
      <c r="Z15" s="21" t="str">
        <f t="shared" si="1"/>
        <v>TIK</v>
      </c>
      <c r="AA15" s="6" t="str">
        <f t="shared" si="2"/>
        <v>N</v>
      </c>
      <c r="AB15" s="17"/>
    </row>
    <row r="16" spans="4:28" x14ac:dyDescent="0.25">
      <c r="D16" s="51"/>
      <c r="E16" s="13"/>
      <c r="F16" s="11"/>
      <c r="G16" s="11"/>
      <c r="H16" s="11"/>
      <c r="I16" s="11"/>
      <c r="J16" s="11">
        <v>2</v>
      </c>
      <c r="K16" s="7"/>
      <c r="L16" s="7"/>
      <c r="M16" s="9">
        <v>6</v>
      </c>
      <c r="N16" s="9" t="s">
        <v>36</v>
      </c>
      <c r="O16" s="9" t="s">
        <v>59</v>
      </c>
      <c r="P16" s="9" t="s">
        <v>13</v>
      </c>
      <c r="Q16" s="9"/>
      <c r="R16" s="9"/>
      <c r="S16" s="9"/>
      <c r="T16" s="6"/>
      <c r="U16" s="6" t="s">
        <v>52</v>
      </c>
      <c r="V16" s="24"/>
      <c r="W16" s="24"/>
      <c r="Y16" s="17">
        <f t="shared" si="0"/>
        <v>5</v>
      </c>
      <c r="Z16" s="21" t="str">
        <f t="shared" si="1"/>
        <v>TIK</v>
      </c>
      <c r="AA16" s="6" t="str">
        <f t="shared" si="2"/>
        <v>N</v>
      </c>
      <c r="AB16" s="17"/>
    </row>
    <row r="17" spans="4:28" x14ac:dyDescent="0.25">
      <c r="D17" s="49">
        <v>3</v>
      </c>
      <c r="E17" s="11">
        <v>3</v>
      </c>
      <c r="F17" s="11"/>
      <c r="G17" s="11"/>
      <c r="H17" s="11"/>
      <c r="I17" s="11"/>
      <c r="J17" s="11"/>
      <c r="K17" s="7" t="str">
        <f>AA17</f>
        <v>N</v>
      </c>
      <c r="L17" s="7"/>
      <c r="M17" s="9">
        <v>1</v>
      </c>
      <c r="N17" s="9" t="s">
        <v>38</v>
      </c>
      <c r="O17" s="9" t="s">
        <v>14</v>
      </c>
      <c r="P17" s="9" t="s">
        <v>8</v>
      </c>
      <c r="Q17" s="9"/>
      <c r="R17" s="9"/>
      <c r="S17" s="9"/>
      <c r="T17" s="6"/>
      <c r="U17" s="6" t="s">
        <v>37</v>
      </c>
      <c r="V17" s="24"/>
      <c r="W17" s="24"/>
      <c r="Y17" s="17">
        <f t="shared" si="0"/>
        <v>5</v>
      </c>
      <c r="Z17" s="21" t="str">
        <f t="shared" si="1"/>
        <v>KITAB KUNING</v>
      </c>
      <c r="AA17" s="6" t="str">
        <f t="shared" si="2"/>
        <v>N</v>
      </c>
      <c r="AB17" s="17"/>
    </row>
    <row r="18" spans="4:28" x14ac:dyDescent="0.25">
      <c r="D18" s="50"/>
      <c r="E18" s="11"/>
      <c r="F18" s="11">
        <v>3</v>
      </c>
      <c r="G18" s="11"/>
      <c r="H18" s="11"/>
      <c r="I18" s="11"/>
      <c r="J18" s="11"/>
      <c r="K18" s="7" t="str">
        <f>AA18</f>
        <v>N</v>
      </c>
      <c r="L18" s="7"/>
      <c r="M18" s="9">
        <v>2</v>
      </c>
      <c r="N18" s="9" t="s">
        <v>38</v>
      </c>
      <c r="O18" s="9" t="s">
        <v>14</v>
      </c>
      <c r="P18" s="9" t="s">
        <v>13</v>
      </c>
      <c r="Q18" s="9"/>
      <c r="R18" s="9"/>
      <c r="S18" s="9"/>
      <c r="T18" s="6"/>
      <c r="U18" s="6" t="s">
        <v>37</v>
      </c>
      <c r="V18" s="24"/>
      <c r="W18" s="24"/>
      <c r="Y18" s="17">
        <f t="shared" si="0"/>
        <v>5</v>
      </c>
      <c r="Z18" s="21" t="str">
        <f t="shared" si="1"/>
        <v>KITAB KUNING</v>
      </c>
      <c r="AA18" s="6" t="str">
        <f t="shared" si="2"/>
        <v>N</v>
      </c>
      <c r="AB18" s="17"/>
    </row>
    <row r="19" spans="4:28" x14ac:dyDescent="0.25">
      <c r="D19" s="50"/>
      <c r="E19" s="11"/>
      <c r="F19" s="11"/>
      <c r="G19" s="11">
        <v>3</v>
      </c>
      <c r="H19" s="11"/>
      <c r="I19" s="11"/>
      <c r="J19" s="11"/>
      <c r="K19" s="7" t="str">
        <f>AA19</f>
        <v>N</v>
      </c>
      <c r="L19" s="7"/>
      <c r="M19" s="9">
        <v>3</v>
      </c>
      <c r="N19" s="9" t="s">
        <v>38</v>
      </c>
      <c r="O19" s="9" t="s">
        <v>7</v>
      </c>
      <c r="P19" s="9" t="s">
        <v>8</v>
      </c>
      <c r="Q19" s="9"/>
      <c r="R19" s="9"/>
      <c r="S19" s="9"/>
      <c r="T19" s="10"/>
      <c r="U19" s="6" t="s">
        <v>37</v>
      </c>
      <c r="V19" s="24"/>
      <c r="W19" s="24"/>
      <c r="Y19" s="17">
        <f t="shared" si="0"/>
        <v>5</v>
      </c>
      <c r="Z19" s="21" t="str">
        <f t="shared" si="1"/>
        <v>KITAB KUNING</v>
      </c>
      <c r="AA19" s="6" t="str">
        <f t="shared" si="2"/>
        <v>N</v>
      </c>
      <c r="AB19" s="17"/>
    </row>
    <row r="20" spans="4:28" x14ac:dyDescent="0.25">
      <c r="D20" s="50"/>
      <c r="E20" s="13"/>
      <c r="F20" s="11"/>
      <c r="G20" s="11"/>
      <c r="H20" s="11">
        <v>3</v>
      </c>
      <c r="I20" s="11"/>
      <c r="J20" s="11"/>
      <c r="K20" s="7" t="str">
        <f>AA20</f>
        <v>N</v>
      </c>
      <c r="L20" s="7"/>
      <c r="M20" s="9">
        <v>4</v>
      </c>
      <c r="N20" s="9" t="s">
        <v>38</v>
      </c>
      <c r="O20" s="9" t="s">
        <v>7</v>
      </c>
      <c r="P20" s="9" t="s">
        <v>13</v>
      </c>
      <c r="Q20" s="9"/>
      <c r="R20" s="9"/>
      <c r="S20" s="9"/>
      <c r="T20" s="10"/>
      <c r="U20" s="6" t="s">
        <v>37</v>
      </c>
      <c r="V20" s="24"/>
      <c r="W20" s="24"/>
      <c r="Y20" s="17">
        <f t="shared" si="0"/>
        <v>5</v>
      </c>
      <c r="Z20" s="21" t="str">
        <f t="shared" si="1"/>
        <v>KITAB KUNING</v>
      </c>
      <c r="AA20" s="6" t="str">
        <f t="shared" si="2"/>
        <v>N</v>
      </c>
      <c r="AB20" s="17"/>
    </row>
    <row r="21" spans="4:28" x14ac:dyDescent="0.25">
      <c r="D21" s="50"/>
      <c r="E21" s="13"/>
      <c r="F21" s="11"/>
      <c r="G21" s="11"/>
      <c r="H21" s="11"/>
      <c r="I21" s="11">
        <v>3</v>
      </c>
      <c r="J21" s="11"/>
      <c r="K21" s="7"/>
      <c r="L21" s="7"/>
      <c r="M21" s="9">
        <v>5</v>
      </c>
      <c r="N21" s="9" t="s">
        <v>38</v>
      </c>
      <c r="O21" s="9" t="s">
        <v>59</v>
      </c>
      <c r="P21" s="9" t="s">
        <v>8</v>
      </c>
      <c r="Q21" s="9"/>
      <c r="R21" s="9"/>
      <c r="S21" s="9"/>
      <c r="T21" s="9"/>
      <c r="U21" s="6" t="s">
        <v>37</v>
      </c>
      <c r="V21" s="24"/>
      <c r="W21" s="24"/>
      <c r="Y21" s="17">
        <f t="shared" si="0"/>
        <v>5</v>
      </c>
      <c r="Z21" s="21" t="str">
        <f t="shared" si="1"/>
        <v>KITAB KUNING</v>
      </c>
      <c r="AA21" s="6" t="str">
        <f t="shared" si="2"/>
        <v>N</v>
      </c>
      <c r="AB21" s="17"/>
    </row>
    <row r="22" spans="4:28" x14ac:dyDescent="0.25">
      <c r="D22" s="51"/>
      <c r="E22" s="13"/>
      <c r="F22" s="11"/>
      <c r="G22" s="11"/>
      <c r="H22" s="11"/>
      <c r="I22" s="11"/>
      <c r="J22" s="11">
        <v>3</v>
      </c>
      <c r="K22" s="7"/>
      <c r="L22" s="7"/>
      <c r="M22" s="9">
        <v>6</v>
      </c>
      <c r="N22" s="9" t="s">
        <v>38</v>
      </c>
      <c r="O22" s="9" t="s">
        <v>59</v>
      </c>
      <c r="P22" s="9" t="s">
        <v>13</v>
      </c>
      <c r="Q22" s="9"/>
      <c r="R22" s="9"/>
      <c r="S22" s="9"/>
      <c r="T22" s="9"/>
      <c r="U22" s="6" t="s">
        <v>37</v>
      </c>
      <c r="V22" s="24"/>
      <c r="W22" s="24"/>
      <c r="Y22" s="17">
        <f t="shared" si="0"/>
        <v>5</v>
      </c>
      <c r="Z22" s="21" t="str">
        <f t="shared" si="1"/>
        <v>KITAB KUNING</v>
      </c>
      <c r="AA22" s="6" t="str">
        <f t="shared" si="2"/>
        <v>N</v>
      </c>
      <c r="AB22" s="17"/>
    </row>
    <row r="23" spans="4:28" x14ac:dyDescent="0.25">
      <c r="D23" s="49">
        <v>4</v>
      </c>
      <c r="E23" s="11">
        <v>4</v>
      </c>
      <c r="F23" s="11"/>
      <c r="G23" s="11"/>
      <c r="H23" s="11"/>
      <c r="I23" s="11"/>
      <c r="J23" s="11"/>
      <c r="K23" s="7" t="str">
        <f>AA23</f>
        <v>N</v>
      </c>
      <c r="L23" s="7"/>
      <c r="M23" s="9">
        <v>1</v>
      </c>
      <c r="N23" s="9" t="s">
        <v>70</v>
      </c>
      <c r="O23" s="9" t="s">
        <v>14</v>
      </c>
      <c r="P23" s="9" t="s">
        <v>8</v>
      </c>
      <c r="Q23" s="9"/>
      <c r="R23" s="9"/>
      <c r="S23" s="9"/>
      <c r="T23" s="6"/>
      <c r="U23" s="6" t="s">
        <v>40</v>
      </c>
      <c r="V23" s="24"/>
      <c r="W23" s="24"/>
      <c r="Y23" s="17">
        <f t="shared" si="0"/>
        <v>5</v>
      </c>
      <c r="Z23" s="21" t="str">
        <f t="shared" si="1"/>
        <v>ILMU PENGETAHUAN SOSIAL</v>
      </c>
      <c r="AA23" s="6" t="str">
        <f t="shared" si="2"/>
        <v>N</v>
      </c>
      <c r="AB23" s="17"/>
    </row>
    <row r="24" spans="4:28" x14ac:dyDescent="0.25">
      <c r="D24" s="50"/>
      <c r="E24" s="11"/>
      <c r="F24" s="11">
        <v>4</v>
      </c>
      <c r="G24" s="11"/>
      <c r="H24" s="11"/>
      <c r="I24" s="11"/>
      <c r="J24" s="11"/>
      <c r="K24" s="7" t="str">
        <f>AA24</f>
        <v>N</v>
      </c>
      <c r="L24" s="7"/>
      <c r="M24" s="9">
        <v>2</v>
      </c>
      <c r="N24" s="46" t="s">
        <v>70</v>
      </c>
      <c r="O24" s="9" t="s">
        <v>14</v>
      </c>
      <c r="P24" s="9" t="s">
        <v>13</v>
      </c>
      <c r="Q24" s="9"/>
      <c r="R24" s="9"/>
      <c r="S24" s="9"/>
      <c r="T24" s="6"/>
      <c r="U24" s="6" t="s">
        <v>40</v>
      </c>
      <c r="V24" s="24"/>
      <c r="W24" s="24"/>
      <c r="Y24" s="17">
        <f t="shared" si="0"/>
        <v>5</v>
      </c>
      <c r="Z24" s="21" t="str">
        <f t="shared" si="1"/>
        <v>ILMU PENGETAHUAN SOSIAL</v>
      </c>
      <c r="AA24" s="6" t="str">
        <f t="shared" si="2"/>
        <v>N</v>
      </c>
      <c r="AB24" s="17"/>
    </row>
    <row r="25" spans="4:28" ht="45" x14ac:dyDescent="0.25">
      <c r="D25" s="50"/>
      <c r="E25" s="11"/>
      <c r="F25" s="11"/>
      <c r="G25" s="11">
        <v>4</v>
      </c>
      <c r="H25" s="11"/>
      <c r="I25" s="11"/>
      <c r="J25" s="11"/>
      <c r="K25" s="7" t="str">
        <f>AA25</f>
        <v>Y</v>
      </c>
      <c r="L25" s="7"/>
      <c r="M25" s="9">
        <v>3</v>
      </c>
      <c r="N25" s="46" t="s">
        <v>70</v>
      </c>
      <c r="O25" s="9" t="s">
        <v>7</v>
      </c>
      <c r="P25" s="9" t="s">
        <v>16</v>
      </c>
      <c r="Q25" s="9">
        <v>300</v>
      </c>
      <c r="R25" s="9">
        <v>2013</v>
      </c>
      <c r="S25" s="9" t="s">
        <v>20</v>
      </c>
      <c r="T25" s="6" t="s">
        <v>11</v>
      </c>
      <c r="U25" s="6" t="s">
        <v>40</v>
      </c>
      <c r="V25" s="24"/>
      <c r="W25" s="24"/>
      <c r="Y25" s="17">
        <f t="shared" si="0"/>
        <v>9</v>
      </c>
      <c r="Z25" s="21" t="str">
        <f t="shared" si="1"/>
        <v>ILMU PENGETAHUAN SOSIAL</v>
      </c>
      <c r="AA25" s="6" t="str">
        <f>IF(Y25=9,"Y","N")</f>
        <v>Y</v>
      </c>
      <c r="AB25" s="17"/>
    </row>
    <row r="26" spans="4:28" ht="45" x14ac:dyDescent="0.25">
      <c r="D26" s="50"/>
      <c r="E26" s="13"/>
      <c r="F26" s="11"/>
      <c r="G26" s="11"/>
      <c r="H26" s="11">
        <v>4</v>
      </c>
      <c r="I26" s="11"/>
      <c r="J26" s="11"/>
      <c r="K26" s="7" t="str">
        <f>AA26</f>
        <v>Y</v>
      </c>
      <c r="L26" s="7"/>
      <c r="M26" s="9">
        <v>4</v>
      </c>
      <c r="N26" s="46" t="s">
        <v>70</v>
      </c>
      <c r="O26" s="9" t="s">
        <v>7</v>
      </c>
      <c r="P26" s="46" t="s">
        <v>16</v>
      </c>
      <c r="Q26" s="46">
        <v>300</v>
      </c>
      <c r="R26" s="46">
        <v>2013</v>
      </c>
      <c r="S26" s="46" t="s">
        <v>60</v>
      </c>
      <c r="T26" s="6" t="s">
        <v>11</v>
      </c>
      <c r="U26" s="6" t="s">
        <v>40</v>
      </c>
      <c r="V26" s="24"/>
      <c r="W26" s="24"/>
      <c r="Y26" s="17">
        <f t="shared" si="0"/>
        <v>9</v>
      </c>
      <c r="Z26" s="21" t="str">
        <f t="shared" si="1"/>
        <v>ILMU PENGETAHUAN SOSIAL</v>
      </c>
      <c r="AA26" s="6" t="str">
        <f t="shared" si="2"/>
        <v>Y</v>
      </c>
      <c r="AB26" s="17"/>
    </row>
    <row r="27" spans="4:28" x14ac:dyDescent="0.25">
      <c r="D27" s="50"/>
      <c r="E27" s="13"/>
      <c r="F27" s="11"/>
      <c r="G27" s="11"/>
      <c r="H27" s="11"/>
      <c r="I27" s="11">
        <v>4</v>
      </c>
      <c r="J27" s="11"/>
      <c r="K27" s="7"/>
      <c r="L27" s="7"/>
      <c r="M27" s="9">
        <v>5</v>
      </c>
      <c r="N27" s="46" t="s">
        <v>70</v>
      </c>
      <c r="O27" s="9" t="s">
        <v>59</v>
      </c>
      <c r="P27" s="9" t="s">
        <v>8</v>
      </c>
      <c r="Q27" s="9"/>
      <c r="R27" s="9"/>
      <c r="S27" s="9"/>
      <c r="T27" s="9"/>
      <c r="U27" s="6" t="s">
        <v>40</v>
      </c>
      <c r="V27" s="24"/>
      <c r="W27" s="24"/>
      <c r="Y27" s="17">
        <f t="shared" si="0"/>
        <v>5</v>
      </c>
      <c r="Z27" s="21" t="str">
        <f t="shared" si="1"/>
        <v>ILMU PENGETAHUAN SOSIAL</v>
      </c>
      <c r="AA27" s="6" t="str">
        <f t="shared" si="2"/>
        <v>N</v>
      </c>
      <c r="AB27" s="17"/>
    </row>
    <row r="28" spans="4:28" x14ac:dyDescent="0.25">
      <c r="D28" s="51"/>
      <c r="E28" s="13"/>
      <c r="F28" s="11"/>
      <c r="G28" s="11"/>
      <c r="H28" s="11"/>
      <c r="I28" s="11"/>
      <c r="J28" s="11">
        <v>4</v>
      </c>
      <c r="K28" s="7"/>
      <c r="L28" s="7"/>
      <c r="M28" s="9">
        <v>6</v>
      </c>
      <c r="N28" s="46" t="s">
        <v>70</v>
      </c>
      <c r="O28" s="9" t="s">
        <v>59</v>
      </c>
      <c r="P28" s="9" t="s">
        <v>13</v>
      </c>
      <c r="Q28" s="9"/>
      <c r="R28" s="9"/>
      <c r="S28" s="9"/>
      <c r="T28" s="9"/>
      <c r="U28" s="6" t="s">
        <v>40</v>
      </c>
      <c r="V28" s="24"/>
      <c r="W28" s="24"/>
      <c r="Y28" s="17">
        <f t="shared" si="0"/>
        <v>5</v>
      </c>
      <c r="Z28" s="21" t="str">
        <f t="shared" si="1"/>
        <v>ILMU PENGETAHUAN SOSIAL</v>
      </c>
      <c r="AA28" s="6" t="str">
        <f t="shared" si="2"/>
        <v>N</v>
      </c>
      <c r="AB28" s="17"/>
    </row>
    <row r="29" spans="4:28" ht="22.5" customHeight="1" x14ac:dyDescent="0.25">
      <c r="D29" s="49">
        <v>5</v>
      </c>
      <c r="E29" s="11">
        <v>5</v>
      </c>
      <c r="F29" s="11"/>
      <c r="G29" s="11"/>
      <c r="H29" s="11"/>
      <c r="I29" s="11"/>
      <c r="J29" s="11"/>
      <c r="K29" s="7" t="str">
        <f>AA29</f>
        <v>N</v>
      </c>
      <c r="L29" s="7"/>
      <c r="M29" s="9">
        <v>1</v>
      </c>
      <c r="N29" s="9" t="s">
        <v>32</v>
      </c>
      <c r="O29" s="9" t="s">
        <v>14</v>
      </c>
      <c r="P29" s="9" t="s">
        <v>8</v>
      </c>
      <c r="Q29" s="9"/>
      <c r="R29" s="9"/>
      <c r="S29" s="9"/>
      <c r="T29" s="6"/>
      <c r="U29" s="6" t="s">
        <v>54</v>
      </c>
      <c r="V29" s="24"/>
      <c r="W29" s="24"/>
      <c r="Y29" s="17">
        <f t="shared" si="0"/>
        <v>5</v>
      </c>
      <c r="Z29" s="21" t="str">
        <f t="shared" si="1"/>
        <v>FIQIH</v>
      </c>
      <c r="AA29" s="6" t="str">
        <f t="shared" si="2"/>
        <v>N</v>
      </c>
      <c r="AB29" s="17"/>
    </row>
    <row r="30" spans="4:28" ht="30" x14ac:dyDescent="0.25">
      <c r="D30" s="50"/>
      <c r="E30" s="11"/>
      <c r="F30" s="11">
        <v>5</v>
      </c>
      <c r="G30" s="11"/>
      <c r="H30" s="11"/>
      <c r="I30" s="11"/>
      <c r="J30" s="11"/>
      <c r="K30" s="7" t="str">
        <f>AA30</f>
        <v>N</v>
      </c>
      <c r="L30" s="7"/>
      <c r="M30" s="9">
        <v>2</v>
      </c>
      <c r="N30" s="9" t="s">
        <v>32</v>
      </c>
      <c r="O30" s="9" t="s">
        <v>14</v>
      </c>
      <c r="P30" s="9" t="s">
        <v>13</v>
      </c>
      <c r="Q30" s="9"/>
      <c r="R30" s="9"/>
      <c r="S30" s="9"/>
      <c r="T30" s="6"/>
      <c r="U30" s="6" t="s">
        <v>54</v>
      </c>
      <c r="V30" s="24"/>
      <c r="W30" s="24"/>
      <c r="Y30" s="17">
        <f t="shared" si="0"/>
        <v>5</v>
      </c>
      <c r="Z30" s="21" t="str">
        <f t="shared" si="1"/>
        <v>FIQIH</v>
      </c>
      <c r="AA30" s="6" t="str">
        <f t="shared" si="2"/>
        <v>N</v>
      </c>
      <c r="AB30" s="17"/>
    </row>
    <row r="31" spans="4:28" ht="30" x14ac:dyDescent="0.25">
      <c r="D31" s="50"/>
      <c r="E31" s="11"/>
      <c r="F31" s="11"/>
      <c r="G31" s="11">
        <v>5</v>
      </c>
      <c r="H31" s="11"/>
      <c r="I31" s="11"/>
      <c r="J31" s="11"/>
      <c r="K31" s="7" t="str">
        <f>AA31</f>
        <v>N</v>
      </c>
      <c r="L31" s="7"/>
      <c r="M31" s="9">
        <v>3</v>
      </c>
      <c r="N31" s="9" t="s">
        <v>32</v>
      </c>
      <c r="O31" s="9" t="s">
        <v>7</v>
      </c>
      <c r="P31" s="9"/>
      <c r="Q31" s="9"/>
      <c r="R31" s="9"/>
      <c r="S31" s="9"/>
      <c r="T31" s="10"/>
      <c r="U31" s="6" t="s">
        <v>54</v>
      </c>
      <c r="V31" s="24"/>
      <c r="W31" s="24"/>
      <c r="Y31" s="17">
        <f t="shared" si="0"/>
        <v>4</v>
      </c>
      <c r="Z31" s="21" t="str">
        <f t="shared" si="1"/>
        <v>FIQIH</v>
      </c>
      <c r="AA31" s="6" t="str">
        <f t="shared" si="2"/>
        <v>N</v>
      </c>
      <c r="AB31" s="17"/>
    </row>
    <row r="32" spans="4:28" ht="22.5" customHeight="1" x14ac:dyDescent="0.25">
      <c r="D32" s="50"/>
      <c r="E32" s="13"/>
      <c r="F32" s="11"/>
      <c r="G32" s="11"/>
      <c r="H32" s="11">
        <v>5</v>
      </c>
      <c r="I32" s="11"/>
      <c r="J32" s="11"/>
      <c r="K32" s="7" t="str">
        <f>AA32</f>
        <v>N</v>
      </c>
      <c r="L32" s="7"/>
      <c r="M32" s="9">
        <v>4</v>
      </c>
      <c r="N32" s="9" t="s">
        <v>32</v>
      </c>
      <c r="O32" s="9" t="s">
        <v>7</v>
      </c>
      <c r="P32" s="9"/>
      <c r="Q32" s="9"/>
      <c r="R32" s="9"/>
      <c r="S32" s="9"/>
      <c r="T32" s="10"/>
      <c r="U32" s="6" t="s">
        <v>54</v>
      </c>
      <c r="V32" s="24"/>
      <c r="W32" s="24"/>
      <c r="Y32" s="17">
        <f t="shared" si="0"/>
        <v>4</v>
      </c>
      <c r="Z32" s="21" t="str">
        <f t="shared" si="1"/>
        <v>FIQIH</v>
      </c>
      <c r="AA32" s="6" t="str">
        <f t="shared" si="2"/>
        <v>N</v>
      </c>
      <c r="AB32" s="17"/>
    </row>
    <row r="33" spans="4:28" ht="30" x14ac:dyDescent="0.25">
      <c r="D33" s="50"/>
      <c r="E33" s="13"/>
      <c r="F33" s="11"/>
      <c r="G33" s="11"/>
      <c r="H33" s="11"/>
      <c r="I33" s="11">
        <v>5</v>
      </c>
      <c r="J33" s="11"/>
      <c r="K33" s="7"/>
      <c r="L33" s="7"/>
      <c r="M33" s="9">
        <v>5</v>
      </c>
      <c r="N33" s="9" t="s">
        <v>32</v>
      </c>
      <c r="O33" s="9" t="s">
        <v>59</v>
      </c>
      <c r="P33" s="9"/>
      <c r="Q33" s="9"/>
      <c r="R33" s="9"/>
      <c r="S33" s="9"/>
      <c r="T33" s="9"/>
      <c r="U33" s="6" t="s">
        <v>54</v>
      </c>
      <c r="V33" s="24"/>
      <c r="W33" s="24"/>
      <c r="Y33" s="17">
        <f t="shared" si="0"/>
        <v>4</v>
      </c>
      <c r="Z33" s="21" t="str">
        <f t="shared" si="1"/>
        <v>FIQIH</v>
      </c>
      <c r="AA33" s="6" t="str">
        <f t="shared" si="2"/>
        <v>N</v>
      </c>
      <c r="AB33" s="17"/>
    </row>
    <row r="34" spans="4:28" ht="30" x14ac:dyDescent="0.25">
      <c r="D34" s="51"/>
      <c r="E34" s="13"/>
      <c r="F34" s="11"/>
      <c r="G34" s="11"/>
      <c r="H34" s="11"/>
      <c r="I34" s="11"/>
      <c r="J34" s="11">
        <v>5</v>
      </c>
      <c r="K34" s="7"/>
      <c r="L34" s="7"/>
      <c r="M34" s="9">
        <v>6</v>
      </c>
      <c r="N34" s="9" t="s">
        <v>32</v>
      </c>
      <c r="O34" s="9" t="s">
        <v>59</v>
      </c>
      <c r="P34" s="9"/>
      <c r="Q34" s="9"/>
      <c r="R34" s="9"/>
      <c r="S34" s="9"/>
      <c r="T34" s="9"/>
      <c r="U34" s="6" t="s">
        <v>54</v>
      </c>
      <c r="V34" s="24"/>
      <c r="W34" s="24"/>
      <c r="Y34" s="17">
        <f t="shared" si="0"/>
        <v>4</v>
      </c>
      <c r="Z34" s="21" t="str">
        <f t="shared" si="1"/>
        <v>FIQIH</v>
      </c>
      <c r="AA34" s="6" t="str">
        <f t="shared" si="2"/>
        <v>N</v>
      </c>
      <c r="AB34" s="17"/>
    </row>
    <row r="35" spans="4:28" x14ac:dyDescent="0.25">
      <c r="D35" s="49">
        <v>6</v>
      </c>
      <c r="E35" s="11">
        <v>6</v>
      </c>
      <c r="F35" s="11"/>
      <c r="G35" s="11"/>
      <c r="H35" s="11"/>
      <c r="I35" s="11"/>
      <c r="J35" s="11"/>
      <c r="K35" s="7" t="str">
        <f>AA35</f>
        <v>N</v>
      </c>
      <c r="L35" s="7"/>
      <c r="M35" s="9">
        <v>1</v>
      </c>
      <c r="N35" s="9" t="s">
        <v>42</v>
      </c>
      <c r="O35" s="9" t="s">
        <v>14</v>
      </c>
      <c r="P35" s="9" t="s">
        <v>8</v>
      </c>
      <c r="Q35" s="9"/>
      <c r="R35" s="9"/>
      <c r="S35" s="9"/>
      <c r="T35" s="6"/>
      <c r="U35" s="6" t="s">
        <v>41</v>
      </c>
      <c r="V35" s="24"/>
      <c r="W35" s="24"/>
      <c r="Y35" s="17">
        <f t="shared" si="0"/>
        <v>5</v>
      </c>
      <c r="Z35" s="21" t="str">
        <f t="shared" si="1"/>
        <v>B. ARAB</v>
      </c>
      <c r="AA35" s="6" t="str">
        <f t="shared" si="2"/>
        <v>N</v>
      </c>
      <c r="AB35" s="17"/>
    </row>
    <row r="36" spans="4:28" x14ac:dyDescent="0.25">
      <c r="D36" s="50"/>
      <c r="E36" s="11"/>
      <c r="F36" s="11">
        <v>6</v>
      </c>
      <c r="G36" s="11"/>
      <c r="H36" s="11"/>
      <c r="I36" s="11"/>
      <c r="J36" s="11"/>
      <c r="K36" s="7" t="str">
        <f>AA36</f>
        <v>N</v>
      </c>
      <c r="L36" s="7"/>
      <c r="M36" s="9">
        <v>2</v>
      </c>
      <c r="N36" s="9" t="s">
        <v>42</v>
      </c>
      <c r="O36" s="9" t="s">
        <v>14</v>
      </c>
      <c r="P36" s="9" t="s">
        <v>13</v>
      </c>
      <c r="Q36" s="9"/>
      <c r="R36" s="9"/>
      <c r="S36" s="9"/>
      <c r="T36" s="6"/>
      <c r="U36" s="6" t="s">
        <v>41</v>
      </c>
      <c r="V36" s="24"/>
      <c r="W36" s="24"/>
      <c r="Y36" s="17">
        <f t="shared" si="0"/>
        <v>5</v>
      </c>
      <c r="Z36" s="21" t="str">
        <f t="shared" si="1"/>
        <v>B. ARAB</v>
      </c>
      <c r="AA36" s="6" t="str">
        <f t="shared" si="2"/>
        <v>N</v>
      </c>
      <c r="AB36" s="17"/>
    </row>
    <row r="37" spans="4:28" x14ac:dyDescent="0.25">
      <c r="D37" s="50"/>
      <c r="E37" s="11"/>
      <c r="F37" s="11"/>
      <c r="G37" s="11">
        <v>6</v>
      </c>
      <c r="H37" s="11"/>
      <c r="I37" s="11"/>
      <c r="J37" s="11"/>
      <c r="K37" s="7" t="str">
        <f>AA37</f>
        <v>N</v>
      </c>
      <c r="L37" s="7"/>
      <c r="M37" s="9">
        <v>3</v>
      </c>
      <c r="N37" s="9" t="s">
        <v>42</v>
      </c>
      <c r="O37" s="9" t="s">
        <v>7</v>
      </c>
      <c r="P37" s="9"/>
      <c r="Q37" s="9"/>
      <c r="R37" s="9"/>
      <c r="S37" s="9"/>
      <c r="T37" s="10"/>
      <c r="U37" s="6" t="s">
        <v>41</v>
      </c>
      <c r="V37" s="24"/>
      <c r="W37" s="24"/>
      <c r="Y37" s="17">
        <f t="shared" si="0"/>
        <v>4</v>
      </c>
      <c r="Z37" s="21" t="str">
        <f t="shared" si="1"/>
        <v>B. ARAB</v>
      </c>
      <c r="AA37" s="6" t="str">
        <f t="shared" si="2"/>
        <v>N</v>
      </c>
      <c r="AB37" s="17"/>
    </row>
    <row r="38" spans="4:28" x14ac:dyDescent="0.25">
      <c r="D38" s="50"/>
      <c r="E38" s="13"/>
      <c r="F38" s="11"/>
      <c r="G38" s="11"/>
      <c r="H38" s="11">
        <v>6</v>
      </c>
      <c r="I38" s="11"/>
      <c r="J38" s="11"/>
      <c r="K38" s="7" t="str">
        <f>AA38</f>
        <v>N</v>
      </c>
      <c r="L38" s="7"/>
      <c r="M38" s="9">
        <v>4</v>
      </c>
      <c r="N38" s="9" t="s">
        <v>42</v>
      </c>
      <c r="O38" s="9" t="s">
        <v>7</v>
      </c>
      <c r="P38" s="9"/>
      <c r="Q38" s="9"/>
      <c r="R38" s="9"/>
      <c r="S38" s="9"/>
      <c r="T38" s="10"/>
      <c r="U38" s="6" t="s">
        <v>41</v>
      </c>
      <c r="V38" s="24"/>
      <c r="W38" s="24"/>
      <c r="Y38" s="17">
        <f t="shared" si="0"/>
        <v>4</v>
      </c>
      <c r="Z38" s="21" t="str">
        <f t="shared" si="1"/>
        <v>B. ARAB</v>
      </c>
      <c r="AA38" s="6" t="str">
        <f t="shared" si="2"/>
        <v>N</v>
      </c>
      <c r="AB38" s="17"/>
    </row>
    <row r="39" spans="4:28" x14ac:dyDescent="0.25">
      <c r="D39" s="50"/>
      <c r="E39" s="13"/>
      <c r="F39" s="11"/>
      <c r="G39" s="11"/>
      <c r="H39" s="11"/>
      <c r="I39" s="11">
        <v>6</v>
      </c>
      <c r="J39" s="11"/>
      <c r="K39" s="7"/>
      <c r="L39" s="7"/>
      <c r="M39" s="9">
        <v>5</v>
      </c>
      <c r="N39" s="9" t="s">
        <v>42</v>
      </c>
      <c r="O39" s="9" t="s">
        <v>59</v>
      </c>
      <c r="P39" s="9"/>
      <c r="Q39" s="9"/>
      <c r="R39" s="9"/>
      <c r="S39" s="9"/>
      <c r="T39" s="9"/>
      <c r="U39" s="6" t="s">
        <v>41</v>
      </c>
      <c r="V39" s="24"/>
      <c r="W39" s="24"/>
      <c r="Y39" s="17">
        <f t="shared" si="0"/>
        <v>4</v>
      </c>
      <c r="Z39" s="21" t="str">
        <f t="shared" si="1"/>
        <v>B. ARAB</v>
      </c>
      <c r="AA39" s="6" t="str">
        <f t="shared" si="2"/>
        <v>N</v>
      </c>
      <c r="AB39" s="17"/>
    </row>
    <row r="40" spans="4:28" x14ac:dyDescent="0.25">
      <c r="D40" s="51"/>
      <c r="E40" s="13"/>
      <c r="F40" s="11"/>
      <c r="G40" s="11"/>
      <c r="H40" s="11"/>
      <c r="I40" s="11"/>
      <c r="J40" s="11">
        <v>6</v>
      </c>
      <c r="K40" s="7"/>
      <c r="L40" s="7"/>
      <c r="M40" s="9">
        <v>6</v>
      </c>
      <c r="N40" s="9" t="s">
        <v>42</v>
      </c>
      <c r="O40" s="9" t="s">
        <v>59</v>
      </c>
      <c r="P40" s="9"/>
      <c r="Q40" s="9"/>
      <c r="R40" s="9"/>
      <c r="S40" s="9"/>
      <c r="T40" s="9"/>
      <c r="U40" s="6" t="s">
        <v>41</v>
      </c>
      <c r="V40" s="24"/>
      <c r="W40" s="24"/>
      <c r="Y40" s="17">
        <f t="shared" si="0"/>
        <v>4</v>
      </c>
      <c r="Z40" s="21" t="str">
        <f t="shared" si="1"/>
        <v>B. ARAB</v>
      </c>
      <c r="AA40" s="6" t="str">
        <f t="shared" si="2"/>
        <v>N</v>
      </c>
      <c r="AB40" s="17"/>
    </row>
    <row r="41" spans="4:28" ht="22.5" customHeight="1" x14ac:dyDescent="0.25">
      <c r="D41" s="49">
        <v>7</v>
      </c>
      <c r="E41" s="11">
        <v>7</v>
      </c>
      <c r="F41" s="11"/>
      <c r="G41" s="11"/>
      <c r="H41" s="11"/>
      <c r="I41" s="11"/>
      <c r="J41" s="11"/>
      <c r="K41" s="7" t="str">
        <f>AA41</f>
        <v>N</v>
      </c>
      <c r="L41" s="7"/>
      <c r="M41" s="9">
        <v>1</v>
      </c>
      <c r="N41" s="9" t="s">
        <v>43</v>
      </c>
      <c r="O41" s="9" t="s">
        <v>14</v>
      </c>
      <c r="P41" s="9" t="s">
        <v>8</v>
      </c>
      <c r="Q41" s="9"/>
      <c r="R41" s="9"/>
      <c r="S41" s="9"/>
      <c r="T41" s="6"/>
      <c r="U41" s="6" t="s">
        <v>55</v>
      </c>
      <c r="V41" s="24"/>
      <c r="W41" s="24"/>
      <c r="Y41" s="17">
        <f t="shared" si="0"/>
        <v>5</v>
      </c>
      <c r="Z41" s="21" t="str">
        <f t="shared" si="1"/>
        <v>PERCAKAPAN</v>
      </c>
      <c r="AA41" s="6" t="str">
        <f t="shared" si="2"/>
        <v>N</v>
      </c>
      <c r="AB41" s="17"/>
    </row>
    <row r="42" spans="4:28" x14ac:dyDescent="0.25">
      <c r="D42" s="50"/>
      <c r="E42" s="11"/>
      <c r="F42" s="11">
        <v>7</v>
      </c>
      <c r="G42" s="11"/>
      <c r="H42" s="11"/>
      <c r="I42" s="11"/>
      <c r="J42" s="11"/>
      <c r="K42" s="7" t="str">
        <f>AA42</f>
        <v>N</v>
      </c>
      <c r="L42" s="7"/>
      <c r="M42" s="9">
        <v>2</v>
      </c>
      <c r="N42" s="9" t="s">
        <v>43</v>
      </c>
      <c r="O42" s="9" t="s">
        <v>14</v>
      </c>
      <c r="P42" s="9" t="s">
        <v>13</v>
      </c>
      <c r="Q42" s="9"/>
      <c r="R42" s="9"/>
      <c r="S42" s="9"/>
      <c r="T42" s="6"/>
      <c r="U42" s="6" t="s">
        <v>55</v>
      </c>
      <c r="V42" s="24"/>
      <c r="W42" s="24"/>
      <c r="Y42" s="17">
        <f t="shared" si="0"/>
        <v>5</v>
      </c>
      <c r="Z42" s="21" t="str">
        <f t="shared" si="1"/>
        <v>PERCAKAPAN</v>
      </c>
      <c r="AA42" s="6" t="str">
        <f t="shared" si="2"/>
        <v>N</v>
      </c>
      <c r="AB42" s="17"/>
    </row>
    <row r="43" spans="4:28" ht="22.5" customHeight="1" x14ac:dyDescent="0.25">
      <c r="D43" s="50"/>
      <c r="E43" s="11"/>
      <c r="F43" s="11"/>
      <c r="G43" s="11">
        <v>7</v>
      </c>
      <c r="H43" s="11"/>
      <c r="I43" s="11"/>
      <c r="J43" s="11"/>
      <c r="K43" s="7" t="str">
        <f>AA43</f>
        <v>N</v>
      </c>
      <c r="L43" s="7"/>
      <c r="M43" s="9">
        <v>3</v>
      </c>
      <c r="N43" s="9" t="s">
        <v>43</v>
      </c>
      <c r="O43" s="9" t="s">
        <v>7</v>
      </c>
      <c r="P43" s="9"/>
      <c r="Q43" s="9"/>
      <c r="R43" s="9"/>
      <c r="S43" s="9"/>
      <c r="T43" s="10"/>
      <c r="U43" s="6" t="s">
        <v>55</v>
      </c>
      <c r="V43" s="24"/>
      <c r="W43" s="24"/>
      <c r="Y43" s="17">
        <f t="shared" si="0"/>
        <v>4</v>
      </c>
      <c r="Z43" s="21" t="str">
        <f t="shared" si="1"/>
        <v>PERCAKAPAN</v>
      </c>
      <c r="AA43" s="6" t="str">
        <f t="shared" si="2"/>
        <v>N</v>
      </c>
      <c r="AB43" s="17"/>
    </row>
    <row r="44" spans="4:28" x14ac:dyDescent="0.25">
      <c r="D44" s="50"/>
      <c r="E44" s="13"/>
      <c r="F44" s="11"/>
      <c r="G44" s="11"/>
      <c r="H44" s="11">
        <v>7</v>
      </c>
      <c r="I44" s="11"/>
      <c r="J44" s="11"/>
      <c r="K44" s="7" t="str">
        <f>AA44</f>
        <v>N</v>
      </c>
      <c r="L44" s="7"/>
      <c r="M44" s="9">
        <v>4</v>
      </c>
      <c r="N44" s="9" t="s">
        <v>43</v>
      </c>
      <c r="O44" s="9" t="s">
        <v>7</v>
      </c>
      <c r="P44" s="9"/>
      <c r="Q44" s="9"/>
      <c r="R44" s="9"/>
      <c r="S44" s="9"/>
      <c r="T44" s="10"/>
      <c r="U44" s="6" t="s">
        <v>55</v>
      </c>
      <c r="V44" s="24"/>
      <c r="W44" s="24"/>
      <c r="Y44" s="17">
        <f t="shared" si="0"/>
        <v>4</v>
      </c>
      <c r="Z44" s="21" t="str">
        <f t="shared" si="1"/>
        <v>PERCAKAPAN</v>
      </c>
      <c r="AA44" s="6" t="str">
        <f t="shared" si="2"/>
        <v>N</v>
      </c>
      <c r="AB44" s="17"/>
    </row>
    <row r="45" spans="4:28" x14ac:dyDescent="0.25">
      <c r="D45" s="50"/>
      <c r="E45" s="13"/>
      <c r="F45" s="11"/>
      <c r="G45" s="11"/>
      <c r="H45" s="11"/>
      <c r="I45" s="11">
        <v>7</v>
      </c>
      <c r="J45" s="11"/>
      <c r="K45" s="7"/>
      <c r="L45" s="7"/>
      <c r="M45" s="9">
        <v>5</v>
      </c>
      <c r="N45" s="9" t="s">
        <v>43</v>
      </c>
      <c r="O45" s="9" t="s">
        <v>59</v>
      </c>
      <c r="P45" s="9"/>
      <c r="Q45" s="9"/>
      <c r="R45" s="9"/>
      <c r="S45" s="9"/>
      <c r="T45" s="9"/>
      <c r="U45" s="6" t="s">
        <v>55</v>
      </c>
      <c r="V45" s="24"/>
      <c r="W45" s="24"/>
      <c r="Y45" s="17">
        <f t="shared" si="0"/>
        <v>4</v>
      </c>
      <c r="Z45" s="21" t="str">
        <f t="shared" si="1"/>
        <v>PERCAKAPAN</v>
      </c>
      <c r="AA45" s="6" t="str">
        <f t="shared" si="2"/>
        <v>N</v>
      </c>
      <c r="AB45" s="17"/>
    </row>
    <row r="46" spans="4:28" x14ac:dyDescent="0.25">
      <c r="D46" s="51"/>
      <c r="E46" s="13"/>
      <c r="F46" s="11"/>
      <c r="G46" s="11"/>
      <c r="H46" s="11"/>
      <c r="I46" s="11"/>
      <c r="J46" s="11">
        <v>7</v>
      </c>
      <c r="K46" s="7"/>
      <c r="L46" s="7"/>
      <c r="M46" s="9">
        <v>6</v>
      </c>
      <c r="N46" s="9" t="s">
        <v>43</v>
      </c>
      <c r="O46" s="9" t="s">
        <v>59</v>
      </c>
      <c r="P46" s="9"/>
      <c r="Q46" s="9"/>
      <c r="R46" s="9"/>
      <c r="S46" s="9"/>
      <c r="T46" s="9"/>
      <c r="U46" s="6" t="s">
        <v>55</v>
      </c>
      <c r="V46" s="24"/>
      <c r="W46" s="24"/>
      <c r="Y46" s="17">
        <f t="shared" si="0"/>
        <v>4</v>
      </c>
      <c r="Z46" s="21" t="str">
        <f t="shared" si="1"/>
        <v>PERCAKAPAN</v>
      </c>
      <c r="AA46" s="6" t="str">
        <f t="shared" si="2"/>
        <v>N</v>
      </c>
      <c r="AB46" s="17"/>
    </row>
    <row r="47" spans="4:28" ht="22.5" customHeight="1" x14ac:dyDescent="0.25">
      <c r="D47" s="49">
        <v>8</v>
      </c>
      <c r="E47" s="11">
        <v>8</v>
      </c>
      <c r="F47" s="11"/>
      <c r="G47" s="11"/>
      <c r="H47" s="11"/>
      <c r="I47" s="11"/>
      <c r="J47" s="11"/>
      <c r="K47" s="7" t="str">
        <f>AA47</f>
        <v>Y</v>
      </c>
      <c r="L47" s="7"/>
      <c r="M47" s="9">
        <v>1</v>
      </c>
      <c r="N47" s="6" t="s">
        <v>5</v>
      </c>
      <c r="O47" s="9" t="s">
        <v>14</v>
      </c>
      <c r="P47" s="9" t="s">
        <v>8</v>
      </c>
      <c r="Q47" s="9">
        <v>234</v>
      </c>
      <c r="R47" s="9">
        <v>2013</v>
      </c>
      <c r="S47" s="9" t="s">
        <v>20</v>
      </c>
      <c r="T47" s="6" t="s">
        <v>11</v>
      </c>
      <c r="U47" s="6" t="s">
        <v>9</v>
      </c>
      <c r="V47" s="24"/>
      <c r="W47" s="24"/>
      <c r="Y47" s="17">
        <f t="shared" si="0"/>
        <v>9</v>
      </c>
      <c r="Z47" s="21" t="str">
        <f t="shared" si="1"/>
        <v>ILMU PENGETAHUAN ALAM</v>
      </c>
      <c r="AA47" s="6" t="str">
        <f t="shared" si="2"/>
        <v>Y</v>
      </c>
      <c r="AB47" s="17"/>
    </row>
    <row r="48" spans="4:28" ht="45" x14ac:dyDescent="0.25">
      <c r="D48" s="50"/>
      <c r="E48" s="11"/>
      <c r="F48" s="11">
        <v>8</v>
      </c>
      <c r="G48" s="11"/>
      <c r="H48" s="11"/>
      <c r="I48" s="11"/>
      <c r="J48" s="11"/>
      <c r="K48" s="7" t="str">
        <f>AA48</f>
        <v>Y</v>
      </c>
      <c r="L48" s="7"/>
      <c r="M48" s="9">
        <v>2</v>
      </c>
      <c r="N48" s="6" t="s">
        <v>5</v>
      </c>
      <c r="O48" s="9" t="s">
        <v>14</v>
      </c>
      <c r="P48" s="9" t="s">
        <v>13</v>
      </c>
      <c r="Q48" s="9">
        <v>186</v>
      </c>
      <c r="R48" s="9">
        <v>2013</v>
      </c>
      <c r="S48" s="9" t="s">
        <v>20</v>
      </c>
      <c r="T48" s="6" t="s">
        <v>11</v>
      </c>
      <c r="U48" s="6" t="s">
        <v>9</v>
      </c>
      <c r="V48" s="24"/>
      <c r="W48" s="24"/>
      <c r="Y48" s="17">
        <f t="shared" si="0"/>
        <v>9</v>
      </c>
      <c r="Z48" s="21" t="str">
        <f t="shared" si="1"/>
        <v>ILMU PENGETAHUAN ALAM</v>
      </c>
      <c r="AA48" s="6" t="str">
        <f t="shared" si="2"/>
        <v>Y</v>
      </c>
      <c r="AB48" s="17"/>
    </row>
    <row r="49" spans="4:28" ht="22.5" customHeight="1" x14ac:dyDescent="0.25">
      <c r="D49" s="50"/>
      <c r="E49" s="11"/>
      <c r="F49" s="11"/>
      <c r="G49" s="11">
        <v>8</v>
      </c>
      <c r="H49" s="11"/>
      <c r="I49" s="11"/>
      <c r="J49" s="11"/>
      <c r="K49" s="7" t="str">
        <f>AA49</f>
        <v>Y</v>
      </c>
      <c r="L49" s="7"/>
      <c r="M49" s="9">
        <v>3</v>
      </c>
      <c r="N49" s="6" t="s">
        <v>5</v>
      </c>
      <c r="O49" s="9" t="s">
        <v>7</v>
      </c>
      <c r="P49" s="9" t="s">
        <v>8</v>
      </c>
      <c r="Q49" s="9">
        <v>324</v>
      </c>
      <c r="R49" s="9">
        <v>2013</v>
      </c>
      <c r="S49" s="9" t="s">
        <v>20</v>
      </c>
      <c r="T49" s="6" t="s">
        <v>11</v>
      </c>
      <c r="U49" s="6" t="s">
        <v>9</v>
      </c>
      <c r="V49" s="24"/>
      <c r="W49" s="24"/>
      <c r="Y49" s="17">
        <f t="shared" si="0"/>
        <v>9</v>
      </c>
      <c r="Z49" s="21" t="str">
        <f t="shared" si="1"/>
        <v>ILMU PENGETAHUAN ALAM</v>
      </c>
      <c r="AA49" s="6" t="str">
        <f t="shared" si="2"/>
        <v>Y</v>
      </c>
      <c r="AB49" s="17"/>
    </row>
    <row r="50" spans="4:28" ht="45" x14ac:dyDescent="0.25">
      <c r="D50" s="50"/>
      <c r="E50" s="13"/>
      <c r="F50" s="11"/>
      <c r="G50" s="11"/>
      <c r="H50" s="11">
        <v>8</v>
      </c>
      <c r="I50" s="11"/>
      <c r="J50" s="11"/>
      <c r="K50" s="7" t="str">
        <f>AA50</f>
        <v>Y</v>
      </c>
      <c r="L50" s="7"/>
      <c r="M50" s="9">
        <v>4</v>
      </c>
      <c r="N50" s="6" t="s">
        <v>5</v>
      </c>
      <c r="O50" s="9" t="s">
        <v>7</v>
      </c>
      <c r="P50" s="9" t="s">
        <v>13</v>
      </c>
      <c r="Q50" s="9">
        <v>270</v>
      </c>
      <c r="R50" s="9">
        <v>2013</v>
      </c>
      <c r="S50" s="9" t="s">
        <v>20</v>
      </c>
      <c r="T50" s="6" t="s">
        <v>11</v>
      </c>
      <c r="U50" s="6" t="s">
        <v>9</v>
      </c>
      <c r="V50" s="24"/>
      <c r="W50" s="24"/>
      <c r="Y50" s="17">
        <f t="shared" si="0"/>
        <v>9</v>
      </c>
      <c r="Z50" s="21" t="str">
        <f t="shared" si="1"/>
        <v>ILMU PENGETAHUAN ALAM</v>
      </c>
      <c r="AA50" s="6" t="str">
        <f t="shared" si="2"/>
        <v>Y</v>
      </c>
      <c r="AB50" s="17"/>
    </row>
    <row r="51" spans="4:28" x14ac:dyDescent="0.25">
      <c r="D51" s="50"/>
      <c r="E51" s="13"/>
      <c r="F51" s="11"/>
      <c r="G51" s="11"/>
      <c r="H51" s="11"/>
      <c r="I51" s="11">
        <v>8</v>
      </c>
      <c r="J51" s="11"/>
      <c r="K51" s="7"/>
      <c r="L51" s="7"/>
      <c r="M51" s="9">
        <v>5</v>
      </c>
      <c r="N51" s="6" t="s">
        <v>5</v>
      </c>
      <c r="O51" s="9" t="s">
        <v>59</v>
      </c>
      <c r="P51" s="9"/>
      <c r="Q51" s="9"/>
      <c r="R51" s="9"/>
      <c r="S51" s="9"/>
      <c r="T51" s="6"/>
      <c r="U51" s="6" t="s">
        <v>9</v>
      </c>
      <c r="V51" s="24"/>
      <c r="W51" s="24"/>
      <c r="Y51" s="17">
        <f t="shared" si="0"/>
        <v>4</v>
      </c>
      <c r="Z51" s="21" t="str">
        <f t="shared" si="1"/>
        <v>ILMU PENGETAHUAN ALAM</v>
      </c>
      <c r="AA51" s="6" t="str">
        <f t="shared" si="2"/>
        <v>N</v>
      </c>
      <c r="AB51" s="17"/>
    </row>
    <row r="52" spans="4:28" x14ac:dyDescent="0.25">
      <c r="D52" s="51"/>
      <c r="E52" s="13"/>
      <c r="F52" s="11"/>
      <c r="G52" s="11"/>
      <c r="H52" s="11"/>
      <c r="I52" s="11"/>
      <c r="J52" s="11">
        <v>8</v>
      </c>
      <c r="K52" s="7"/>
      <c r="L52" s="7"/>
      <c r="M52" s="9">
        <v>6</v>
      </c>
      <c r="N52" s="6" t="s">
        <v>5</v>
      </c>
      <c r="O52" s="9" t="s">
        <v>59</v>
      </c>
      <c r="P52" s="9"/>
      <c r="Q52" s="9"/>
      <c r="R52" s="9"/>
      <c r="S52" s="9"/>
      <c r="T52" s="6"/>
      <c r="U52" s="6" t="s">
        <v>9</v>
      </c>
      <c r="V52" s="24"/>
      <c r="W52" s="24"/>
      <c r="Y52" s="17">
        <f t="shared" si="0"/>
        <v>4</v>
      </c>
      <c r="Z52" s="21" t="str">
        <f t="shared" si="1"/>
        <v>ILMU PENGETAHUAN ALAM</v>
      </c>
      <c r="AA52" s="6" t="str">
        <f t="shared" si="2"/>
        <v>N</v>
      </c>
      <c r="AB52" s="17"/>
    </row>
    <row r="53" spans="4:28" ht="45" x14ac:dyDescent="0.25">
      <c r="D53" s="49">
        <v>9</v>
      </c>
      <c r="E53" s="11">
        <v>9</v>
      </c>
      <c r="F53" s="11"/>
      <c r="G53" s="11"/>
      <c r="H53" s="11"/>
      <c r="I53" s="11"/>
      <c r="J53" s="11"/>
      <c r="K53" s="7" t="str">
        <f>AA53</f>
        <v>Y</v>
      </c>
      <c r="L53" s="7"/>
      <c r="M53" s="9">
        <v>1</v>
      </c>
      <c r="N53" s="6" t="s">
        <v>21</v>
      </c>
      <c r="O53" s="9" t="s">
        <v>14</v>
      </c>
      <c r="P53" s="9" t="s">
        <v>16</v>
      </c>
      <c r="Q53" s="9">
        <v>194</v>
      </c>
      <c r="R53" s="9">
        <v>2013</v>
      </c>
      <c r="S53" s="9" t="s">
        <v>20</v>
      </c>
      <c r="T53" s="6" t="s">
        <v>11</v>
      </c>
      <c r="U53" s="6" t="s">
        <v>23</v>
      </c>
      <c r="V53" s="24"/>
      <c r="W53" s="24"/>
      <c r="Y53" s="17">
        <f t="shared" si="0"/>
        <v>9</v>
      </c>
      <c r="Z53" s="21" t="str">
        <f t="shared" si="1"/>
        <v>BAHASA INGGRIS</v>
      </c>
      <c r="AA53" s="6" t="str">
        <f t="shared" si="2"/>
        <v>Y</v>
      </c>
      <c r="AB53" s="17"/>
    </row>
    <row r="54" spans="4:28" ht="45" x14ac:dyDescent="0.25">
      <c r="D54" s="50"/>
      <c r="E54" s="11"/>
      <c r="F54" s="11">
        <v>9</v>
      </c>
      <c r="G54" s="11"/>
      <c r="H54" s="11"/>
      <c r="I54" s="11"/>
      <c r="J54" s="11"/>
      <c r="K54" s="7" t="str">
        <f>AA54</f>
        <v>Y</v>
      </c>
      <c r="L54" s="7"/>
      <c r="M54" s="9">
        <v>2</v>
      </c>
      <c r="N54" s="6" t="s">
        <v>21</v>
      </c>
      <c r="O54" s="9" t="s">
        <v>14</v>
      </c>
      <c r="P54" s="9" t="s">
        <v>16</v>
      </c>
      <c r="Q54" s="9">
        <v>194</v>
      </c>
      <c r="R54" s="9">
        <v>2013</v>
      </c>
      <c r="S54" s="9" t="s">
        <v>20</v>
      </c>
      <c r="T54" s="6" t="s">
        <v>11</v>
      </c>
      <c r="U54" s="6" t="s">
        <v>23</v>
      </c>
      <c r="V54" s="24"/>
      <c r="W54" s="24"/>
      <c r="Y54" s="17">
        <f t="shared" si="0"/>
        <v>9</v>
      </c>
      <c r="Z54" s="21" t="str">
        <f t="shared" si="1"/>
        <v>BAHASA INGGRIS</v>
      </c>
      <c r="AA54" s="6" t="str">
        <f t="shared" si="2"/>
        <v>Y</v>
      </c>
      <c r="AB54" s="17"/>
    </row>
    <row r="55" spans="4:28" ht="22.5" customHeight="1" x14ac:dyDescent="0.25">
      <c r="D55" s="50"/>
      <c r="E55" s="11"/>
      <c r="F55" s="11"/>
      <c r="G55" s="11">
        <v>9</v>
      </c>
      <c r="H55" s="11"/>
      <c r="I55" s="11"/>
      <c r="J55" s="11"/>
      <c r="K55" s="7" t="str">
        <f>AA55</f>
        <v>Y</v>
      </c>
      <c r="L55" s="7"/>
      <c r="M55" s="9">
        <v>3</v>
      </c>
      <c r="N55" s="6" t="s">
        <v>21</v>
      </c>
      <c r="O55" s="9" t="s">
        <v>7</v>
      </c>
      <c r="P55" s="9" t="s">
        <v>16</v>
      </c>
      <c r="Q55" s="9">
        <v>234</v>
      </c>
      <c r="R55" s="9">
        <v>2013</v>
      </c>
      <c r="S55" s="9" t="s">
        <v>20</v>
      </c>
      <c r="T55" s="6" t="s">
        <v>11</v>
      </c>
      <c r="U55" s="6" t="s">
        <v>23</v>
      </c>
      <c r="V55" s="24"/>
      <c r="W55" s="24"/>
      <c r="Y55" s="17">
        <f t="shared" si="0"/>
        <v>9</v>
      </c>
      <c r="Z55" s="21" t="str">
        <f t="shared" si="1"/>
        <v>BAHASA INGGRIS</v>
      </c>
      <c r="AA55" s="6" t="str">
        <f t="shared" si="2"/>
        <v>Y</v>
      </c>
      <c r="AB55" s="17"/>
    </row>
    <row r="56" spans="4:28" ht="22.5" customHeight="1" x14ac:dyDescent="0.25">
      <c r="D56" s="50"/>
      <c r="E56" s="13"/>
      <c r="F56" s="11"/>
      <c r="G56" s="11"/>
      <c r="H56" s="11">
        <v>9</v>
      </c>
      <c r="I56" s="11"/>
      <c r="J56" s="11"/>
      <c r="K56" s="7" t="str">
        <f>AA56</f>
        <v>Y</v>
      </c>
      <c r="L56" s="7"/>
      <c r="M56" s="9">
        <v>4</v>
      </c>
      <c r="N56" s="6" t="s">
        <v>21</v>
      </c>
      <c r="O56" s="9" t="s">
        <v>7</v>
      </c>
      <c r="P56" s="9" t="s">
        <v>16</v>
      </c>
      <c r="Q56" s="9">
        <v>234</v>
      </c>
      <c r="R56" s="9">
        <v>2013</v>
      </c>
      <c r="S56" s="9" t="s">
        <v>20</v>
      </c>
      <c r="T56" s="6" t="s">
        <v>11</v>
      </c>
      <c r="U56" s="6" t="s">
        <v>23</v>
      </c>
      <c r="V56" s="24"/>
      <c r="W56" s="24"/>
      <c r="Y56" s="17">
        <f t="shared" si="0"/>
        <v>9</v>
      </c>
      <c r="Z56" s="21" t="str">
        <f t="shared" si="1"/>
        <v>BAHASA INGGRIS</v>
      </c>
      <c r="AA56" s="6" t="str">
        <f t="shared" si="2"/>
        <v>Y</v>
      </c>
      <c r="AB56" s="17"/>
    </row>
    <row r="57" spans="4:28" ht="22.5" customHeight="1" x14ac:dyDescent="0.25">
      <c r="D57" s="50"/>
      <c r="E57" s="13"/>
      <c r="F57" s="11"/>
      <c r="G57" s="11"/>
      <c r="H57" s="11"/>
      <c r="I57" s="11">
        <v>9</v>
      </c>
      <c r="J57" s="11"/>
      <c r="K57" s="7"/>
      <c r="L57" s="7"/>
      <c r="M57" s="9">
        <v>5</v>
      </c>
      <c r="N57" s="6" t="s">
        <v>21</v>
      </c>
      <c r="O57" s="9" t="s">
        <v>59</v>
      </c>
      <c r="P57" s="9"/>
      <c r="Q57" s="9"/>
      <c r="R57" s="9"/>
      <c r="S57" s="9"/>
      <c r="T57" s="6"/>
      <c r="U57" s="6" t="s">
        <v>23</v>
      </c>
      <c r="V57" s="24"/>
      <c r="W57" s="24"/>
      <c r="Y57" s="17">
        <f t="shared" si="0"/>
        <v>4</v>
      </c>
      <c r="Z57" s="21" t="str">
        <f t="shared" si="1"/>
        <v>BAHASA INGGRIS</v>
      </c>
      <c r="AA57" s="6" t="str">
        <f t="shared" si="2"/>
        <v>N</v>
      </c>
      <c r="AB57" s="17"/>
    </row>
    <row r="58" spans="4:28" ht="22.5" customHeight="1" x14ac:dyDescent="0.25">
      <c r="D58" s="51"/>
      <c r="E58" s="13"/>
      <c r="F58" s="11"/>
      <c r="G58" s="11"/>
      <c r="H58" s="11"/>
      <c r="I58" s="11"/>
      <c r="J58" s="11">
        <v>9</v>
      </c>
      <c r="K58" s="7"/>
      <c r="L58" s="7"/>
      <c r="M58" s="9">
        <v>6</v>
      </c>
      <c r="N58" s="6" t="s">
        <v>21</v>
      </c>
      <c r="O58" s="9" t="s">
        <v>59</v>
      </c>
      <c r="P58" s="9"/>
      <c r="Q58" s="9"/>
      <c r="R58" s="9"/>
      <c r="S58" s="9"/>
      <c r="T58" s="6"/>
      <c r="U58" s="6" t="s">
        <v>23</v>
      </c>
      <c r="V58" s="24"/>
      <c r="W58" s="24"/>
      <c r="Y58" s="17">
        <f t="shared" si="0"/>
        <v>4</v>
      </c>
      <c r="Z58" s="21" t="str">
        <f t="shared" si="1"/>
        <v>BAHASA INGGRIS</v>
      </c>
      <c r="AA58" s="6" t="str">
        <f t="shared" si="2"/>
        <v>N</v>
      </c>
      <c r="AB58" s="17"/>
    </row>
    <row r="59" spans="4:28" ht="45" x14ac:dyDescent="0.25">
      <c r="D59" s="49">
        <v>10</v>
      </c>
      <c r="E59" s="11">
        <v>10</v>
      </c>
      <c r="F59" s="11"/>
      <c r="G59" s="11"/>
      <c r="H59" s="11"/>
      <c r="I59" s="11"/>
      <c r="J59" s="11"/>
      <c r="K59" s="7" t="str">
        <f>AA59</f>
        <v>Y</v>
      </c>
      <c r="L59" s="7"/>
      <c r="M59" s="9">
        <v>1</v>
      </c>
      <c r="N59" s="10" t="s">
        <v>44</v>
      </c>
      <c r="O59" s="9" t="s">
        <v>14</v>
      </c>
      <c r="P59" s="9" t="s">
        <v>16</v>
      </c>
      <c r="Q59" s="9">
        <v>306</v>
      </c>
      <c r="R59" s="9">
        <v>2013</v>
      </c>
      <c r="S59" s="9" t="s">
        <v>20</v>
      </c>
      <c r="T59" s="6" t="s">
        <v>11</v>
      </c>
      <c r="U59" s="6" t="s">
        <v>56</v>
      </c>
      <c r="V59" s="24"/>
      <c r="W59" s="24"/>
      <c r="Y59" s="17">
        <f t="shared" si="0"/>
        <v>9</v>
      </c>
      <c r="Z59" s="21" t="str">
        <f t="shared" si="1"/>
        <v>B. INDONESIA</v>
      </c>
      <c r="AA59" s="6" t="str">
        <f t="shared" si="2"/>
        <v>Y</v>
      </c>
      <c r="AB59" s="17"/>
    </row>
    <row r="60" spans="4:28" ht="45" x14ac:dyDescent="0.25">
      <c r="D60" s="50"/>
      <c r="E60" s="11"/>
      <c r="F60" s="11">
        <v>10</v>
      </c>
      <c r="G60" s="11"/>
      <c r="H60" s="11"/>
      <c r="I60" s="11"/>
      <c r="J60" s="11"/>
      <c r="K60" s="7" t="str">
        <f>AA60</f>
        <v>Y</v>
      </c>
      <c r="L60" s="7"/>
      <c r="M60" s="9">
        <v>2</v>
      </c>
      <c r="N60" s="10" t="s">
        <v>44</v>
      </c>
      <c r="O60" s="9" t="s">
        <v>14</v>
      </c>
      <c r="P60" s="45" t="s">
        <v>16</v>
      </c>
      <c r="Q60" s="45">
        <v>306</v>
      </c>
      <c r="R60" s="45">
        <v>2013</v>
      </c>
      <c r="S60" s="45" t="s">
        <v>60</v>
      </c>
      <c r="T60" s="6" t="s">
        <v>11</v>
      </c>
      <c r="U60" s="6" t="s">
        <v>56</v>
      </c>
      <c r="V60" s="24"/>
      <c r="W60" s="24"/>
      <c r="Y60" s="17">
        <f t="shared" si="0"/>
        <v>9</v>
      </c>
      <c r="Z60" s="21" t="str">
        <f t="shared" si="1"/>
        <v>B. INDONESIA</v>
      </c>
      <c r="AA60" s="6" t="str">
        <f t="shared" si="2"/>
        <v>Y</v>
      </c>
      <c r="AB60" s="17"/>
    </row>
    <row r="61" spans="4:28" ht="22.5" customHeight="1" x14ac:dyDescent="0.25">
      <c r="D61" s="50"/>
      <c r="E61" s="11"/>
      <c r="F61" s="11"/>
      <c r="G61" s="11">
        <v>10</v>
      </c>
      <c r="H61" s="11"/>
      <c r="I61" s="11"/>
      <c r="J61" s="11"/>
      <c r="K61" s="7" t="str">
        <f>AA61</f>
        <v>N</v>
      </c>
      <c r="L61" s="7"/>
      <c r="M61" s="9">
        <v>3</v>
      </c>
      <c r="N61" s="10" t="s">
        <v>44</v>
      </c>
      <c r="O61" s="9" t="s">
        <v>7</v>
      </c>
      <c r="P61" s="9"/>
      <c r="Q61" s="9"/>
      <c r="R61" s="9"/>
      <c r="S61" s="9"/>
      <c r="T61" s="10"/>
      <c r="U61" s="6" t="s">
        <v>56</v>
      </c>
      <c r="V61" s="24"/>
      <c r="W61" s="24"/>
      <c r="Y61" s="17">
        <f t="shared" si="0"/>
        <v>4</v>
      </c>
      <c r="Z61" s="21" t="str">
        <f t="shared" si="1"/>
        <v>B. INDONESIA</v>
      </c>
      <c r="AA61" s="6" t="str">
        <f t="shared" si="2"/>
        <v>N</v>
      </c>
      <c r="AB61" s="17"/>
    </row>
    <row r="62" spans="4:28" ht="22.5" customHeight="1" x14ac:dyDescent="0.25">
      <c r="D62" s="50"/>
      <c r="E62" s="13"/>
      <c r="F62" s="11"/>
      <c r="G62" s="11"/>
      <c r="H62" s="11">
        <v>10</v>
      </c>
      <c r="I62" s="11"/>
      <c r="J62" s="11"/>
      <c r="K62" s="7" t="str">
        <f>AA62</f>
        <v>N</v>
      </c>
      <c r="L62" s="7"/>
      <c r="M62" s="9">
        <v>4</v>
      </c>
      <c r="N62" s="10" t="s">
        <v>44</v>
      </c>
      <c r="O62" s="9" t="s">
        <v>7</v>
      </c>
      <c r="P62" s="9"/>
      <c r="Q62" s="9"/>
      <c r="R62" s="9"/>
      <c r="S62" s="9"/>
      <c r="T62" s="10"/>
      <c r="U62" s="6" t="s">
        <v>56</v>
      </c>
      <c r="V62" s="24"/>
      <c r="W62" s="24"/>
      <c r="Y62" s="17">
        <f t="shared" si="0"/>
        <v>4</v>
      </c>
      <c r="Z62" s="21" t="str">
        <f t="shared" si="1"/>
        <v>B. INDONESIA</v>
      </c>
      <c r="AA62" s="6" t="str">
        <f t="shared" si="2"/>
        <v>N</v>
      </c>
      <c r="AB62" s="17"/>
    </row>
    <row r="63" spans="4:28" ht="30" x14ac:dyDescent="0.25">
      <c r="D63" s="50"/>
      <c r="E63" s="13"/>
      <c r="F63" s="11"/>
      <c r="G63" s="11"/>
      <c r="H63" s="11"/>
      <c r="I63" s="11">
        <v>10</v>
      </c>
      <c r="J63" s="11"/>
      <c r="K63" s="7"/>
      <c r="L63" s="7"/>
      <c r="M63" s="9">
        <v>5</v>
      </c>
      <c r="N63" s="14" t="s">
        <v>44</v>
      </c>
      <c r="O63" s="9" t="s">
        <v>59</v>
      </c>
      <c r="P63" s="9"/>
      <c r="Q63" s="9"/>
      <c r="R63" s="9"/>
      <c r="S63" s="9"/>
      <c r="T63" s="9"/>
      <c r="U63" s="6" t="s">
        <v>56</v>
      </c>
      <c r="V63" s="24"/>
      <c r="W63" s="24"/>
      <c r="Y63" s="17">
        <f t="shared" si="0"/>
        <v>4</v>
      </c>
      <c r="Z63" s="21" t="str">
        <f t="shared" si="1"/>
        <v>B. INDONESIA</v>
      </c>
      <c r="AA63" s="6" t="str">
        <f t="shared" si="2"/>
        <v>N</v>
      </c>
      <c r="AB63" s="17"/>
    </row>
    <row r="64" spans="4:28" ht="30" x14ac:dyDescent="0.25">
      <c r="D64" s="51"/>
      <c r="E64" s="13"/>
      <c r="F64" s="11"/>
      <c r="G64" s="11"/>
      <c r="H64" s="11"/>
      <c r="I64" s="11"/>
      <c r="J64" s="11">
        <v>10</v>
      </c>
      <c r="K64" s="7"/>
      <c r="L64" s="7"/>
      <c r="M64" s="9">
        <v>6</v>
      </c>
      <c r="N64" s="14" t="s">
        <v>44</v>
      </c>
      <c r="O64" s="9" t="s">
        <v>59</v>
      </c>
      <c r="P64" s="9"/>
      <c r="Q64" s="9"/>
      <c r="R64" s="9"/>
      <c r="S64" s="9"/>
      <c r="T64" s="9"/>
      <c r="U64" s="6" t="s">
        <v>56</v>
      </c>
      <c r="V64" s="24"/>
      <c r="W64" s="24"/>
      <c r="Y64" s="17">
        <f t="shared" si="0"/>
        <v>4</v>
      </c>
      <c r="Z64" s="21" t="str">
        <f t="shared" si="1"/>
        <v>B. INDONESIA</v>
      </c>
      <c r="AA64" s="6" t="str">
        <f t="shared" si="2"/>
        <v>N</v>
      </c>
      <c r="AB64" s="17"/>
    </row>
    <row r="65" spans="4:28" x14ac:dyDescent="0.25">
      <c r="D65" s="49">
        <v>11</v>
      </c>
      <c r="E65" s="11">
        <v>11</v>
      </c>
      <c r="F65" s="11"/>
      <c r="G65" s="11"/>
      <c r="H65" s="11"/>
      <c r="I65" s="11"/>
      <c r="J65" s="11"/>
      <c r="K65" s="7" t="str">
        <f>AA65</f>
        <v>N</v>
      </c>
      <c r="L65" s="7"/>
      <c r="M65" s="9">
        <v>1</v>
      </c>
      <c r="N65" s="9" t="s">
        <v>46</v>
      </c>
      <c r="O65" s="9" t="s">
        <v>14</v>
      </c>
      <c r="P65" s="9"/>
      <c r="Q65" s="9"/>
      <c r="R65" s="9"/>
      <c r="S65" s="9"/>
      <c r="T65" s="6"/>
      <c r="U65" s="6" t="s">
        <v>45</v>
      </c>
      <c r="V65" s="24"/>
      <c r="W65" s="24"/>
      <c r="Y65" s="17">
        <f t="shared" si="0"/>
        <v>4</v>
      </c>
      <c r="Z65" s="21" t="str">
        <f t="shared" si="1"/>
        <v>SENI BUDAYA</v>
      </c>
      <c r="AA65" s="6" t="str">
        <f t="shared" si="2"/>
        <v>N</v>
      </c>
      <c r="AB65" s="17"/>
    </row>
    <row r="66" spans="4:28" x14ac:dyDescent="0.25">
      <c r="D66" s="50"/>
      <c r="E66" s="11"/>
      <c r="F66" s="11">
        <v>11</v>
      </c>
      <c r="G66" s="11"/>
      <c r="H66" s="11"/>
      <c r="I66" s="11"/>
      <c r="J66" s="11"/>
      <c r="K66" s="7" t="str">
        <f>AA66</f>
        <v>N</v>
      </c>
      <c r="L66" s="7"/>
      <c r="M66" s="9">
        <v>2</v>
      </c>
      <c r="N66" s="9" t="s">
        <v>46</v>
      </c>
      <c r="O66" s="9" t="s">
        <v>14</v>
      </c>
      <c r="P66" s="9"/>
      <c r="Q66" s="9"/>
      <c r="R66" s="9"/>
      <c r="S66" s="9"/>
      <c r="T66" s="6"/>
      <c r="U66" s="6" t="s">
        <v>45</v>
      </c>
      <c r="V66" s="24"/>
      <c r="W66" s="24"/>
      <c r="Y66" s="17">
        <f t="shared" si="0"/>
        <v>4</v>
      </c>
      <c r="Z66" s="21" t="str">
        <f t="shared" si="1"/>
        <v>SENI BUDAYA</v>
      </c>
      <c r="AA66" s="6" t="str">
        <f t="shared" si="2"/>
        <v>N</v>
      </c>
      <c r="AB66" s="17"/>
    </row>
    <row r="67" spans="4:28" ht="22.5" customHeight="1" x14ac:dyDescent="0.25">
      <c r="D67" s="50"/>
      <c r="E67" s="11"/>
      <c r="F67" s="11"/>
      <c r="G67" s="11">
        <v>11</v>
      </c>
      <c r="H67" s="11"/>
      <c r="I67" s="11"/>
      <c r="J67" s="11"/>
      <c r="K67" s="7" t="str">
        <f>AA67</f>
        <v>N</v>
      </c>
      <c r="L67" s="7"/>
      <c r="M67" s="9">
        <v>3</v>
      </c>
      <c r="N67" s="9" t="s">
        <v>46</v>
      </c>
      <c r="O67" s="9" t="s">
        <v>7</v>
      </c>
      <c r="P67" s="9"/>
      <c r="Q67" s="9"/>
      <c r="R67" s="9"/>
      <c r="S67" s="9"/>
      <c r="T67" s="10"/>
      <c r="U67" s="6" t="s">
        <v>45</v>
      </c>
      <c r="V67" s="24"/>
      <c r="W67" s="24"/>
      <c r="Y67" s="17">
        <f t="shared" si="0"/>
        <v>4</v>
      </c>
      <c r="Z67" s="21" t="str">
        <f t="shared" si="1"/>
        <v>SENI BUDAYA</v>
      </c>
      <c r="AA67" s="6" t="str">
        <f t="shared" si="2"/>
        <v>N</v>
      </c>
      <c r="AB67" s="17"/>
    </row>
    <row r="68" spans="4:28" ht="22.5" customHeight="1" x14ac:dyDescent="0.25">
      <c r="D68" s="50"/>
      <c r="E68" s="13"/>
      <c r="F68" s="11"/>
      <c r="G68" s="11"/>
      <c r="H68" s="11">
        <v>11</v>
      </c>
      <c r="I68" s="11"/>
      <c r="J68" s="11"/>
      <c r="K68" s="7" t="str">
        <f>AA68</f>
        <v>N</v>
      </c>
      <c r="L68" s="7"/>
      <c r="M68" s="9">
        <v>4</v>
      </c>
      <c r="N68" s="9" t="s">
        <v>46</v>
      </c>
      <c r="O68" s="9" t="s">
        <v>7</v>
      </c>
      <c r="P68" s="9"/>
      <c r="Q68" s="9"/>
      <c r="R68" s="9"/>
      <c r="S68" s="9"/>
      <c r="T68" s="10"/>
      <c r="U68" s="6" t="s">
        <v>45</v>
      </c>
      <c r="V68" s="24"/>
      <c r="W68" s="24"/>
      <c r="Y68" s="17">
        <f t="shared" si="0"/>
        <v>4</v>
      </c>
      <c r="Z68" s="21" t="str">
        <f t="shared" si="1"/>
        <v>SENI BUDAYA</v>
      </c>
      <c r="AA68" s="6" t="str">
        <f t="shared" si="2"/>
        <v>N</v>
      </c>
      <c r="AB68" s="17"/>
    </row>
    <row r="69" spans="4:28" ht="22.5" customHeight="1" x14ac:dyDescent="0.25">
      <c r="D69" s="50"/>
      <c r="E69" s="13"/>
      <c r="F69" s="11"/>
      <c r="G69" s="11"/>
      <c r="H69" s="11"/>
      <c r="I69" s="11">
        <v>11</v>
      </c>
      <c r="J69" s="11"/>
      <c r="K69" s="7"/>
      <c r="L69" s="7"/>
      <c r="M69" s="9">
        <v>5</v>
      </c>
      <c r="N69" s="9" t="s">
        <v>46</v>
      </c>
      <c r="O69" s="9" t="s">
        <v>59</v>
      </c>
      <c r="P69" s="9"/>
      <c r="Q69" s="9"/>
      <c r="R69" s="9"/>
      <c r="S69" s="9"/>
      <c r="T69" s="9"/>
      <c r="U69" s="6" t="s">
        <v>45</v>
      </c>
      <c r="V69" s="24"/>
      <c r="W69" s="24"/>
      <c r="Y69" s="17">
        <f t="shared" si="0"/>
        <v>4</v>
      </c>
      <c r="Z69" s="21" t="str">
        <f t="shared" si="1"/>
        <v>SENI BUDAYA</v>
      </c>
      <c r="AA69" s="6" t="str">
        <f t="shared" si="2"/>
        <v>N</v>
      </c>
      <c r="AB69" s="17"/>
    </row>
    <row r="70" spans="4:28" ht="22.5" customHeight="1" x14ac:dyDescent="0.25">
      <c r="D70" s="51"/>
      <c r="E70" s="13"/>
      <c r="F70" s="11"/>
      <c r="G70" s="11"/>
      <c r="H70" s="11"/>
      <c r="I70" s="11"/>
      <c r="J70" s="11">
        <v>11</v>
      </c>
      <c r="K70" s="7"/>
      <c r="L70" s="7"/>
      <c r="M70" s="9">
        <v>6</v>
      </c>
      <c r="N70" s="9" t="s">
        <v>46</v>
      </c>
      <c r="O70" s="9" t="s">
        <v>59</v>
      </c>
      <c r="P70" s="9"/>
      <c r="Q70" s="9"/>
      <c r="R70" s="9"/>
      <c r="S70" s="9"/>
      <c r="T70" s="9"/>
      <c r="U70" s="6" t="s">
        <v>45</v>
      </c>
      <c r="V70" s="24"/>
      <c r="W70" s="24"/>
      <c r="Y70" s="17">
        <f t="shared" ref="Y70:Y130" si="3">COUNTA(M70:U70)</f>
        <v>4</v>
      </c>
      <c r="Z70" s="21" t="str">
        <f t="shared" ref="Z70:Z130" si="4">N70</f>
        <v>SENI BUDAYA</v>
      </c>
      <c r="AA70" s="6" t="str">
        <f t="shared" ref="AA70:AA130" si="5">IF(Y70=9,"Y","N")</f>
        <v>N</v>
      </c>
      <c r="AB70" s="17"/>
    </row>
    <row r="71" spans="4:28" ht="45" x14ac:dyDescent="0.25">
      <c r="D71" s="49">
        <v>12</v>
      </c>
      <c r="E71" s="11">
        <v>12</v>
      </c>
      <c r="F71" s="11"/>
      <c r="G71" s="11"/>
      <c r="H71" s="11"/>
      <c r="I71" s="11"/>
      <c r="J71" s="11"/>
      <c r="K71" s="7" t="str">
        <f>AA71</f>
        <v>Y</v>
      </c>
      <c r="L71" s="7"/>
      <c r="M71" s="9">
        <v>1</v>
      </c>
      <c r="N71" s="6" t="s">
        <v>15</v>
      </c>
      <c r="O71" s="9" t="s">
        <v>14</v>
      </c>
      <c r="P71" s="9" t="s">
        <v>16</v>
      </c>
      <c r="Q71" s="9">
        <v>328</v>
      </c>
      <c r="R71" s="9">
        <v>2013</v>
      </c>
      <c r="S71" s="9" t="s">
        <v>22</v>
      </c>
      <c r="T71" s="6" t="s">
        <v>11</v>
      </c>
      <c r="U71" s="6" t="s">
        <v>17</v>
      </c>
      <c r="V71" s="24"/>
      <c r="W71" s="24"/>
      <c r="Y71" s="17">
        <f t="shared" si="3"/>
        <v>9</v>
      </c>
      <c r="Z71" s="21" t="str">
        <f t="shared" si="4"/>
        <v>PENDIDIKAN JASMANI, OLAHRAGA, DAN KESEHATAN</v>
      </c>
      <c r="AA71" s="6" t="str">
        <f t="shared" si="5"/>
        <v>Y</v>
      </c>
      <c r="AB71" s="17"/>
    </row>
    <row r="72" spans="4:28" ht="45" x14ac:dyDescent="0.25">
      <c r="D72" s="50"/>
      <c r="E72" s="11"/>
      <c r="F72" s="11">
        <v>12</v>
      </c>
      <c r="G72" s="11"/>
      <c r="H72" s="11"/>
      <c r="I72" s="11"/>
      <c r="J72" s="11"/>
      <c r="K72" s="7" t="str">
        <f t="shared" ref="K72:K74" si="6">AA72</f>
        <v>Y</v>
      </c>
      <c r="L72" s="7"/>
      <c r="M72" s="9">
        <v>2</v>
      </c>
      <c r="N72" s="6" t="s">
        <v>15</v>
      </c>
      <c r="O72" s="9" t="s">
        <v>14</v>
      </c>
      <c r="P72" s="9" t="s">
        <v>16</v>
      </c>
      <c r="Q72" s="9">
        <v>328</v>
      </c>
      <c r="R72" s="9">
        <v>2013</v>
      </c>
      <c r="S72" s="9" t="s">
        <v>22</v>
      </c>
      <c r="T72" s="6" t="s">
        <v>11</v>
      </c>
      <c r="U72" s="6" t="s">
        <v>17</v>
      </c>
      <c r="V72" s="24"/>
      <c r="W72" s="24"/>
      <c r="Y72" s="17">
        <f t="shared" si="3"/>
        <v>9</v>
      </c>
      <c r="Z72" s="21" t="str">
        <f t="shared" si="4"/>
        <v>PENDIDIKAN JASMANI, OLAHRAGA, DAN KESEHATAN</v>
      </c>
      <c r="AA72" s="6" t="str">
        <f t="shared" si="5"/>
        <v>Y</v>
      </c>
      <c r="AB72" s="17"/>
    </row>
    <row r="73" spans="4:28" ht="30" x14ac:dyDescent="0.25">
      <c r="D73" s="50"/>
      <c r="E73" s="11"/>
      <c r="F73" s="11"/>
      <c r="G73" s="11">
        <v>12</v>
      </c>
      <c r="H73" s="11"/>
      <c r="I73" s="11"/>
      <c r="J73" s="11"/>
      <c r="K73" s="7" t="str">
        <f t="shared" si="6"/>
        <v>N</v>
      </c>
      <c r="L73" s="7"/>
      <c r="M73" s="9">
        <v>3</v>
      </c>
      <c r="N73" s="6" t="s">
        <v>15</v>
      </c>
      <c r="O73" s="9" t="s">
        <v>7</v>
      </c>
      <c r="P73" s="9" t="s">
        <v>16</v>
      </c>
      <c r="Q73" s="9"/>
      <c r="R73" s="9"/>
      <c r="S73" s="9"/>
      <c r="T73" s="6"/>
      <c r="U73" s="6" t="s">
        <v>17</v>
      </c>
      <c r="V73" s="24"/>
      <c r="W73" s="24"/>
      <c r="Y73" s="17">
        <f t="shared" si="3"/>
        <v>5</v>
      </c>
      <c r="Z73" s="21" t="str">
        <f t="shared" si="4"/>
        <v>PENDIDIKAN JASMANI, OLAHRAGA, DAN KESEHATAN</v>
      </c>
      <c r="AA73" s="6" t="str">
        <f t="shared" si="5"/>
        <v>N</v>
      </c>
      <c r="AB73" s="17"/>
    </row>
    <row r="74" spans="4:28" ht="22.5" customHeight="1" x14ac:dyDescent="0.25">
      <c r="D74" s="50"/>
      <c r="E74" s="13"/>
      <c r="F74" s="11"/>
      <c r="G74" s="11"/>
      <c r="H74" s="11">
        <v>12</v>
      </c>
      <c r="I74" s="11"/>
      <c r="J74" s="11"/>
      <c r="K74" s="7" t="str">
        <f t="shared" si="6"/>
        <v>N</v>
      </c>
      <c r="L74" s="7"/>
      <c r="M74" s="9">
        <v>4</v>
      </c>
      <c r="N74" s="6" t="s">
        <v>15</v>
      </c>
      <c r="O74" s="9" t="s">
        <v>7</v>
      </c>
      <c r="P74" s="9" t="s">
        <v>16</v>
      </c>
      <c r="Q74" s="9"/>
      <c r="R74" s="9"/>
      <c r="S74" s="9"/>
      <c r="T74" s="6"/>
      <c r="U74" s="6" t="s">
        <v>17</v>
      </c>
      <c r="V74" s="24"/>
      <c r="W74" s="24"/>
      <c r="Y74" s="17">
        <f t="shared" si="3"/>
        <v>5</v>
      </c>
      <c r="Z74" s="21" t="str">
        <f t="shared" si="4"/>
        <v>PENDIDIKAN JASMANI, OLAHRAGA, DAN KESEHATAN</v>
      </c>
      <c r="AA74" s="6" t="str">
        <f t="shared" si="5"/>
        <v>N</v>
      </c>
      <c r="AB74" s="17"/>
    </row>
    <row r="75" spans="4:28" ht="22.5" customHeight="1" x14ac:dyDescent="0.25">
      <c r="D75" s="50"/>
      <c r="E75" s="13"/>
      <c r="F75" s="11"/>
      <c r="G75" s="11"/>
      <c r="H75" s="11"/>
      <c r="I75" s="11">
        <v>12</v>
      </c>
      <c r="J75" s="11"/>
      <c r="K75" s="7"/>
      <c r="L75" s="7"/>
      <c r="M75" s="9">
        <v>5</v>
      </c>
      <c r="N75" s="6" t="s">
        <v>15</v>
      </c>
      <c r="O75" s="9" t="s">
        <v>59</v>
      </c>
      <c r="P75" s="9"/>
      <c r="Q75" s="9"/>
      <c r="R75" s="9"/>
      <c r="S75" s="9"/>
      <c r="T75" s="6"/>
      <c r="U75" s="6" t="s">
        <v>17</v>
      </c>
      <c r="V75" s="24"/>
      <c r="W75" s="24"/>
      <c r="Y75" s="17">
        <f t="shared" si="3"/>
        <v>4</v>
      </c>
      <c r="Z75" s="21" t="str">
        <f t="shared" si="4"/>
        <v>PENDIDIKAN JASMANI, OLAHRAGA, DAN KESEHATAN</v>
      </c>
      <c r="AA75" s="6" t="str">
        <f t="shared" si="5"/>
        <v>N</v>
      </c>
      <c r="AB75" s="17"/>
    </row>
    <row r="76" spans="4:28" ht="22.5" customHeight="1" x14ac:dyDescent="0.25">
      <c r="D76" s="51"/>
      <c r="E76" s="13"/>
      <c r="F76" s="11"/>
      <c r="G76" s="11"/>
      <c r="H76" s="11"/>
      <c r="I76" s="11"/>
      <c r="J76" s="11">
        <v>12</v>
      </c>
      <c r="K76" s="7"/>
      <c r="L76" s="7"/>
      <c r="M76" s="9">
        <v>6</v>
      </c>
      <c r="N76" s="6" t="s">
        <v>15</v>
      </c>
      <c r="O76" s="9" t="s">
        <v>59</v>
      </c>
      <c r="P76" s="9"/>
      <c r="Q76" s="9"/>
      <c r="R76" s="9"/>
      <c r="S76" s="9"/>
      <c r="T76" s="6"/>
      <c r="U76" s="6" t="s">
        <v>17</v>
      </c>
      <c r="V76" s="24"/>
      <c r="W76" s="24"/>
      <c r="Y76" s="17">
        <f t="shared" si="3"/>
        <v>4</v>
      </c>
      <c r="Z76" s="21" t="str">
        <f t="shared" si="4"/>
        <v>PENDIDIKAN JASMANI, OLAHRAGA, DAN KESEHATAN</v>
      </c>
      <c r="AA76" s="6" t="str">
        <f t="shared" si="5"/>
        <v>N</v>
      </c>
      <c r="AB76" s="17"/>
    </row>
    <row r="77" spans="4:28" ht="22.5" customHeight="1" x14ac:dyDescent="0.25">
      <c r="D77" s="49">
        <v>13</v>
      </c>
      <c r="E77" s="11">
        <v>13</v>
      </c>
      <c r="F77" s="11"/>
      <c r="G77" s="11"/>
      <c r="H77" s="11"/>
      <c r="I77" s="11"/>
      <c r="J77" s="11"/>
      <c r="K77" s="7" t="str">
        <f>AA77</f>
        <v>N</v>
      </c>
      <c r="L77" s="7"/>
      <c r="M77" s="9">
        <v>1</v>
      </c>
      <c r="N77" s="18" t="s">
        <v>26</v>
      </c>
      <c r="O77" s="9" t="s">
        <v>14</v>
      </c>
      <c r="P77" s="9" t="s">
        <v>8</v>
      </c>
      <c r="Q77" s="9"/>
      <c r="R77" s="9"/>
      <c r="S77" s="9"/>
      <c r="T77" s="6"/>
      <c r="U77" s="6" t="s">
        <v>27</v>
      </c>
      <c r="V77" s="24"/>
      <c r="W77" s="24"/>
      <c r="Y77" s="17">
        <f t="shared" si="3"/>
        <v>5</v>
      </c>
      <c r="Z77" s="21" t="str">
        <f t="shared" si="4"/>
        <v>PRAKARYA</v>
      </c>
      <c r="AA77" s="6" t="str">
        <f t="shared" si="5"/>
        <v>N</v>
      </c>
      <c r="AB77" s="17"/>
    </row>
    <row r="78" spans="4:28" ht="22.5" customHeight="1" x14ac:dyDescent="0.25">
      <c r="D78" s="50"/>
      <c r="E78" s="11"/>
      <c r="F78" s="11">
        <v>13</v>
      </c>
      <c r="G78" s="11"/>
      <c r="H78" s="11"/>
      <c r="I78" s="11"/>
      <c r="J78" s="11"/>
      <c r="K78" s="7" t="str">
        <f t="shared" ref="K78:K80" si="7">AA78</f>
        <v>Y</v>
      </c>
      <c r="L78" s="7"/>
      <c r="M78" s="9">
        <v>2</v>
      </c>
      <c r="N78" s="18" t="s">
        <v>26</v>
      </c>
      <c r="O78" s="9" t="s">
        <v>14</v>
      </c>
      <c r="P78" s="9" t="s">
        <v>13</v>
      </c>
      <c r="Q78" s="9">
        <v>208</v>
      </c>
      <c r="R78" s="9">
        <v>2013</v>
      </c>
      <c r="S78" s="9" t="s">
        <v>20</v>
      </c>
      <c r="T78" s="6" t="s">
        <v>11</v>
      </c>
      <c r="U78" s="6" t="s">
        <v>27</v>
      </c>
      <c r="V78" s="24"/>
      <c r="W78" s="24"/>
      <c r="Y78" s="17">
        <f t="shared" si="3"/>
        <v>9</v>
      </c>
      <c r="Z78" s="21" t="str">
        <f t="shared" si="4"/>
        <v>PRAKARYA</v>
      </c>
      <c r="AA78" s="6" t="str">
        <f t="shared" si="5"/>
        <v>Y</v>
      </c>
      <c r="AB78" s="17"/>
    </row>
    <row r="79" spans="4:28" ht="22.5" customHeight="1" x14ac:dyDescent="0.25">
      <c r="D79" s="50"/>
      <c r="E79" s="11"/>
      <c r="F79" s="11"/>
      <c r="G79" s="11">
        <v>13</v>
      </c>
      <c r="H79" s="11"/>
      <c r="I79" s="11"/>
      <c r="J79" s="11"/>
      <c r="K79" s="7" t="str">
        <f t="shared" si="7"/>
        <v>Y</v>
      </c>
      <c r="L79" s="7"/>
      <c r="M79" s="9">
        <v>3</v>
      </c>
      <c r="N79" s="18" t="s">
        <v>26</v>
      </c>
      <c r="O79" s="9" t="s">
        <v>7</v>
      </c>
      <c r="P79" s="9" t="s">
        <v>8</v>
      </c>
      <c r="Q79" s="9">
        <v>242</v>
      </c>
      <c r="R79" s="9">
        <v>2013</v>
      </c>
      <c r="S79" s="9" t="s">
        <v>20</v>
      </c>
      <c r="T79" s="6" t="s">
        <v>11</v>
      </c>
      <c r="U79" s="6" t="s">
        <v>27</v>
      </c>
      <c r="V79" s="24"/>
      <c r="W79" s="24"/>
      <c r="Y79" s="17">
        <f t="shared" si="3"/>
        <v>9</v>
      </c>
      <c r="Z79" s="21" t="str">
        <f t="shared" si="4"/>
        <v>PRAKARYA</v>
      </c>
      <c r="AA79" s="6" t="str">
        <f t="shared" si="5"/>
        <v>Y</v>
      </c>
      <c r="AB79" s="17"/>
    </row>
    <row r="80" spans="4:28" ht="22.5" customHeight="1" x14ac:dyDescent="0.25">
      <c r="D80" s="50"/>
      <c r="E80" s="13"/>
      <c r="F80" s="11"/>
      <c r="G80" s="11"/>
      <c r="H80" s="11">
        <v>13</v>
      </c>
      <c r="I80" s="11"/>
      <c r="J80" s="11"/>
      <c r="K80" s="7" t="str">
        <f t="shared" si="7"/>
        <v>N</v>
      </c>
      <c r="L80" s="7"/>
      <c r="M80" s="9">
        <v>4</v>
      </c>
      <c r="N80" s="18" t="s">
        <v>26</v>
      </c>
      <c r="O80" s="9" t="s">
        <v>7</v>
      </c>
      <c r="P80" s="9" t="s">
        <v>13</v>
      </c>
      <c r="Q80" s="9"/>
      <c r="R80" s="9"/>
      <c r="S80" s="9"/>
      <c r="T80" s="6"/>
      <c r="U80" s="6" t="s">
        <v>27</v>
      </c>
      <c r="V80" s="24"/>
      <c r="W80" s="24"/>
      <c r="Y80" s="17">
        <f t="shared" si="3"/>
        <v>5</v>
      </c>
      <c r="Z80" s="21" t="str">
        <f t="shared" si="4"/>
        <v>PRAKARYA</v>
      </c>
      <c r="AA80" s="6" t="str">
        <f t="shared" si="5"/>
        <v>N</v>
      </c>
      <c r="AB80" s="17"/>
    </row>
    <row r="81" spans="4:28" ht="22.5" customHeight="1" x14ac:dyDescent="0.25">
      <c r="D81" s="50"/>
      <c r="E81" s="13"/>
      <c r="F81" s="11"/>
      <c r="G81" s="11"/>
      <c r="H81" s="11"/>
      <c r="I81" s="11">
        <v>13</v>
      </c>
      <c r="J81" s="11"/>
      <c r="K81" s="7"/>
      <c r="L81" s="7"/>
      <c r="M81" s="9">
        <v>5</v>
      </c>
      <c r="N81" s="18" t="s">
        <v>26</v>
      </c>
      <c r="O81" s="9" t="s">
        <v>59</v>
      </c>
      <c r="P81" s="9"/>
      <c r="Q81" s="9"/>
      <c r="R81" s="9"/>
      <c r="S81" s="9"/>
      <c r="T81" s="6"/>
      <c r="U81" s="6" t="s">
        <v>27</v>
      </c>
      <c r="V81" s="24"/>
      <c r="W81" s="24"/>
      <c r="Y81" s="17">
        <f t="shared" si="3"/>
        <v>4</v>
      </c>
      <c r="Z81" s="21" t="str">
        <f t="shared" si="4"/>
        <v>PRAKARYA</v>
      </c>
      <c r="AA81" s="6" t="str">
        <f t="shared" si="5"/>
        <v>N</v>
      </c>
      <c r="AB81" s="17"/>
    </row>
    <row r="82" spans="4:28" ht="22.5" customHeight="1" x14ac:dyDescent="0.25">
      <c r="D82" s="51"/>
      <c r="E82" s="13"/>
      <c r="F82" s="11"/>
      <c r="G82" s="11"/>
      <c r="H82" s="11"/>
      <c r="I82" s="11"/>
      <c r="J82" s="11">
        <v>13</v>
      </c>
      <c r="K82" s="7"/>
      <c r="L82" s="7"/>
      <c r="M82" s="9">
        <v>6</v>
      </c>
      <c r="N82" s="18" t="s">
        <v>26</v>
      </c>
      <c r="O82" s="9" t="s">
        <v>59</v>
      </c>
      <c r="P82" s="9"/>
      <c r="Q82" s="9"/>
      <c r="R82" s="9"/>
      <c r="S82" s="9"/>
      <c r="T82" s="6"/>
      <c r="U82" s="6" t="s">
        <v>27</v>
      </c>
      <c r="V82" s="24"/>
      <c r="W82" s="24"/>
      <c r="Y82" s="17">
        <f t="shared" si="3"/>
        <v>4</v>
      </c>
      <c r="Z82" s="21" t="str">
        <f t="shared" si="4"/>
        <v>PRAKARYA</v>
      </c>
      <c r="AA82" s="6" t="str">
        <f t="shared" si="5"/>
        <v>N</v>
      </c>
      <c r="AB82" s="17"/>
    </row>
    <row r="83" spans="4:28" ht="22.5" customHeight="1" x14ac:dyDescent="0.25">
      <c r="D83" s="49">
        <v>14</v>
      </c>
      <c r="E83" s="11">
        <v>14</v>
      </c>
      <c r="F83" s="11"/>
      <c r="G83" s="11"/>
      <c r="H83" s="11"/>
      <c r="I83" s="11"/>
      <c r="J83" s="11"/>
      <c r="K83" s="7" t="str">
        <f>AA83</f>
        <v>N</v>
      </c>
      <c r="L83" s="7"/>
      <c r="M83" s="9">
        <v>1</v>
      </c>
      <c r="N83" s="10" t="s">
        <v>34</v>
      </c>
      <c r="O83" s="9" t="s">
        <v>14</v>
      </c>
      <c r="P83" s="9"/>
      <c r="Q83" s="9"/>
      <c r="R83" s="9"/>
      <c r="S83" s="9"/>
      <c r="T83" s="6"/>
      <c r="U83" s="6" t="s">
        <v>47</v>
      </c>
      <c r="V83" s="24"/>
      <c r="W83" s="24"/>
      <c r="Y83" s="17">
        <f t="shared" si="3"/>
        <v>4</v>
      </c>
      <c r="Z83" s="21" t="str">
        <f t="shared" si="4"/>
        <v>PKN</v>
      </c>
      <c r="AA83" s="6" t="str">
        <f t="shared" si="5"/>
        <v>N</v>
      </c>
      <c r="AB83" s="17"/>
    </row>
    <row r="84" spans="4:28" ht="22.5" customHeight="1" x14ac:dyDescent="0.25">
      <c r="D84" s="50"/>
      <c r="E84" s="11"/>
      <c r="F84" s="11">
        <v>14</v>
      </c>
      <c r="G84" s="11"/>
      <c r="H84" s="11"/>
      <c r="I84" s="11"/>
      <c r="J84" s="11"/>
      <c r="K84" s="7" t="str">
        <f t="shared" ref="K84:K86" si="8">AA84</f>
        <v>N</v>
      </c>
      <c r="L84" s="7"/>
      <c r="M84" s="9">
        <v>2</v>
      </c>
      <c r="N84" s="10" t="s">
        <v>34</v>
      </c>
      <c r="O84" s="9" t="s">
        <v>14</v>
      </c>
      <c r="P84" s="9"/>
      <c r="Q84" s="9"/>
      <c r="R84" s="9"/>
      <c r="S84" s="9"/>
      <c r="T84" s="6"/>
      <c r="U84" s="6" t="s">
        <v>47</v>
      </c>
      <c r="V84" s="24"/>
      <c r="W84" s="24"/>
      <c r="Y84" s="17">
        <f t="shared" si="3"/>
        <v>4</v>
      </c>
      <c r="Z84" s="21" t="str">
        <f t="shared" si="4"/>
        <v>PKN</v>
      </c>
      <c r="AA84" s="6" t="str">
        <f t="shared" si="5"/>
        <v>N</v>
      </c>
      <c r="AB84" s="17"/>
    </row>
    <row r="85" spans="4:28" ht="22.5" customHeight="1" x14ac:dyDescent="0.25">
      <c r="D85" s="50"/>
      <c r="E85" s="11"/>
      <c r="F85" s="11"/>
      <c r="G85" s="11">
        <v>14</v>
      </c>
      <c r="H85" s="11"/>
      <c r="I85" s="11"/>
      <c r="J85" s="11"/>
      <c r="K85" s="7" t="str">
        <f t="shared" si="8"/>
        <v>N</v>
      </c>
      <c r="L85" s="7"/>
      <c r="M85" s="9">
        <v>3</v>
      </c>
      <c r="N85" s="9" t="s">
        <v>34</v>
      </c>
      <c r="O85" s="9" t="s">
        <v>7</v>
      </c>
      <c r="P85" s="9"/>
      <c r="Q85" s="9"/>
      <c r="R85" s="9"/>
      <c r="S85" s="9"/>
      <c r="T85" s="10"/>
      <c r="U85" s="6" t="s">
        <v>47</v>
      </c>
      <c r="V85" s="24"/>
      <c r="W85" s="24"/>
      <c r="Y85" s="17">
        <f t="shared" si="3"/>
        <v>4</v>
      </c>
      <c r="Z85" s="21" t="str">
        <f t="shared" si="4"/>
        <v>PKN</v>
      </c>
      <c r="AA85" s="6" t="str">
        <f t="shared" si="5"/>
        <v>N</v>
      </c>
      <c r="AB85" s="17"/>
    </row>
    <row r="86" spans="4:28" ht="22.5" customHeight="1" x14ac:dyDescent="0.25">
      <c r="D86" s="50"/>
      <c r="E86" s="13"/>
      <c r="F86" s="11"/>
      <c r="G86" s="11"/>
      <c r="H86" s="11">
        <v>14</v>
      </c>
      <c r="I86" s="11"/>
      <c r="J86" s="11"/>
      <c r="K86" s="7" t="str">
        <f t="shared" si="8"/>
        <v>N</v>
      </c>
      <c r="L86" s="7"/>
      <c r="M86" s="9">
        <v>4</v>
      </c>
      <c r="N86" s="9" t="s">
        <v>34</v>
      </c>
      <c r="O86" s="9" t="s">
        <v>7</v>
      </c>
      <c r="P86" s="9"/>
      <c r="Q86" s="9"/>
      <c r="R86" s="9"/>
      <c r="S86" s="9"/>
      <c r="T86" s="10"/>
      <c r="U86" s="6" t="s">
        <v>47</v>
      </c>
      <c r="V86" s="24"/>
      <c r="W86" s="24"/>
      <c r="Y86" s="17">
        <f t="shared" si="3"/>
        <v>4</v>
      </c>
      <c r="Z86" s="21" t="str">
        <f t="shared" si="4"/>
        <v>PKN</v>
      </c>
      <c r="AA86" s="6" t="str">
        <f t="shared" si="5"/>
        <v>N</v>
      </c>
      <c r="AB86" s="17"/>
    </row>
    <row r="87" spans="4:28" ht="22.5" customHeight="1" x14ac:dyDescent="0.25">
      <c r="D87" s="50"/>
      <c r="E87" s="13"/>
      <c r="F87" s="11"/>
      <c r="G87" s="11"/>
      <c r="H87" s="11"/>
      <c r="I87" s="11">
        <v>14</v>
      </c>
      <c r="J87" s="11"/>
      <c r="K87" s="7"/>
      <c r="L87" s="7"/>
      <c r="M87" s="9">
        <v>5</v>
      </c>
      <c r="N87" s="9" t="s">
        <v>34</v>
      </c>
      <c r="O87" s="9" t="s">
        <v>59</v>
      </c>
      <c r="P87" s="9"/>
      <c r="Q87" s="9"/>
      <c r="R87" s="9"/>
      <c r="S87" s="9"/>
      <c r="T87" s="9"/>
      <c r="U87" s="6" t="s">
        <v>47</v>
      </c>
      <c r="V87" s="24"/>
      <c r="W87" s="24"/>
      <c r="Y87" s="17">
        <f t="shared" si="3"/>
        <v>4</v>
      </c>
      <c r="Z87" s="21" t="str">
        <f t="shared" si="4"/>
        <v>PKN</v>
      </c>
      <c r="AA87" s="6" t="str">
        <f t="shared" si="5"/>
        <v>N</v>
      </c>
      <c r="AB87" s="17"/>
    </row>
    <row r="88" spans="4:28" ht="22.5" customHeight="1" x14ac:dyDescent="0.25">
      <c r="D88" s="51"/>
      <c r="E88" s="13"/>
      <c r="F88" s="11"/>
      <c r="G88" s="11"/>
      <c r="H88" s="11"/>
      <c r="I88" s="11"/>
      <c r="J88" s="11">
        <v>14</v>
      </c>
      <c r="K88" s="7"/>
      <c r="L88" s="7"/>
      <c r="M88" s="9">
        <v>6</v>
      </c>
      <c r="N88" s="9" t="s">
        <v>34</v>
      </c>
      <c r="O88" s="9" t="s">
        <v>59</v>
      </c>
      <c r="P88" s="9"/>
      <c r="Q88" s="9"/>
      <c r="R88" s="9"/>
      <c r="S88" s="9"/>
      <c r="T88" s="6"/>
      <c r="U88" s="6" t="s">
        <v>47</v>
      </c>
      <c r="V88" s="24"/>
      <c r="W88" s="24"/>
      <c r="Y88" s="17">
        <f t="shared" si="3"/>
        <v>4</v>
      </c>
      <c r="Z88" s="21" t="str">
        <f t="shared" si="4"/>
        <v>PKN</v>
      </c>
      <c r="AA88" s="6" t="str">
        <f t="shared" si="5"/>
        <v>N</v>
      </c>
      <c r="AB88" s="17"/>
    </row>
    <row r="89" spans="4:28" ht="22.5" customHeight="1" x14ac:dyDescent="0.25">
      <c r="D89" s="49">
        <v>15</v>
      </c>
      <c r="E89" s="11">
        <v>15</v>
      </c>
      <c r="F89" s="11"/>
      <c r="G89" s="11"/>
      <c r="H89" s="11"/>
      <c r="I89" s="11"/>
      <c r="J89" s="11"/>
      <c r="K89" s="7" t="str">
        <f>AA89</f>
        <v>Y</v>
      </c>
      <c r="L89" s="7"/>
      <c r="M89" s="9">
        <v>1</v>
      </c>
      <c r="N89" s="6" t="s">
        <v>58</v>
      </c>
      <c r="O89" s="9" t="s">
        <v>14</v>
      </c>
      <c r="P89" s="9" t="s">
        <v>16</v>
      </c>
      <c r="Q89" s="9">
        <v>132</v>
      </c>
      <c r="R89" s="9">
        <v>2013</v>
      </c>
      <c r="S89" s="9" t="s">
        <v>20</v>
      </c>
      <c r="T89" s="6" t="s">
        <v>49</v>
      </c>
      <c r="U89" s="6" t="s">
        <v>50</v>
      </c>
      <c r="V89" s="24"/>
      <c r="W89" s="24"/>
      <c r="Y89" s="17">
        <f t="shared" si="3"/>
        <v>9</v>
      </c>
      <c r="Z89" s="21" t="str">
        <f t="shared" si="4"/>
        <v>BASA SUNDA</v>
      </c>
      <c r="AA89" s="6" t="str">
        <f t="shared" si="5"/>
        <v>Y</v>
      </c>
      <c r="AB89" s="17"/>
    </row>
    <row r="90" spans="4:28" ht="22.5" customHeight="1" x14ac:dyDescent="0.25">
      <c r="D90" s="50"/>
      <c r="E90" s="11"/>
      <c r="F90" s="11">
        <v>15</v>
      </c>
      <c r="G90" s="11"/>
      <c r="H90" s="11"/>
      <c r="I90" s="11"/>
      <c r="J90" s="11"/>
      <c r="K90" s="7" t="str">
        <f t="shared" ref="K90:K92" si="9">AA90</f>
        <v>Y</v>
      </c>
      <c r="L90" s="7"/>
      <c r="M90" s="9">
        <v>2</v>
      </c>
      <c r="N90" s="6" t="s">
        <v>58</v>
      </c>
      <c r="O90" s="9" t="s">
        <v>14</v>
      </c>
      <c r="P90" s="9" t="s">
        <v>16</v>
      </c>
      <c r="Q90" s="9">
        <v>132</v>
      </c>
      <c r="R90" s="9">
        <v>2013</v>
      </c>
      <c r="S90" s="9" t="s">
        <v>60</v>
      </c>
      <c r="T90" s="6" t="s">
        <v>49</v>
      </c>
      <c r="U90" s="6" t="s">
        <v>50</v>
      </c>
      <c r="V90" s="24"/>
      <c r="W90" s="24"/>
      <c r="Y90" s="17">
        <f t="shared" si="3"/>
        <v>9</v>
      </c>
      <c r="Z90" s="21" t="str">
        <f t="shared" si="4"/>
        <v>BASA SUNDA</v>
      </c>
      <c r="AA90" s="6" t="str">
        <f t="shared" si="5"/>
        <v>Y</v>
      </c>
      <c r="AB90" s="17"/>
    </row>
    <row r="91" spans="4:28" ht="22.5" customHeight="1" x14ac:dyDescent="0.25">
      <c r="D91" s="50"/>
      <c r="E91" s="11"/>
      <c r="F91" s="11"/>
      <c r="G91" s="11">
        <v>15</v>
      </c>
      <c r="H91" s="11"/>
      <c r="I91" s="11"/>
      <c r="J91" s="11"/>
      <c r="K91" s="7" t="str">
        <f t="shared" si="9"/>
        <v>Y</v>
      </c>
      <c r="L91" s="7"/>
      <c r="M91" s="9">
        <v>3</v>
      </c>
      <c r="N91" s="6" t="s">
        <v>58</v>
      </c>
      <c r="O91" s="9" t="s">
        <v>7</v>
      </c>
      <c r="P91" s="9" t="s">
        <v>16</v>
      </c>
      <c r="Q91" s="9">
        <v>152</v>
      </c>
      <c r="R91" s="9">
        <v>2013</v>
      </c>
      <c r="S91" s="9" t="s">
        <v>20</v>
      </c>
      <c r="T91" s="6" t="s">
        <v>49</v>
      </c>
      <c r="U91" s="6" t="s">
        <v>50</v>
      </c>
      <c r="V91" s="24"/>
      <c r="W91" s="24"/>
      <c r="Y91" s="17">
        <f t="shared" si="3"/>
        <v>9</v>
      </c>
      <c r="Z91" s="21" t="str">
        <f t="shared" si="4"/>
        <v>BASA SUNDA</v>
      </c>
      <c r="AA91" s="6" t="str">
        <f t="shared" si="5"/>
        <v>Y</v>
      </c>
      <c r="AB91" s="17"/>
    </row>
    <row r="92" spans="4:28" ht="22.5" customHeight="1" x14ac:dyDescent="0.25">
      <c r="D92" s="50"/>
      <c r="E92" s="13"/>
      <c r="F92" s="11"/>
      <c r="G92" s="11"/>
      <c r="H92" s="11">
        <v>15</v>
      </c>
      <c r="I92" s="11"/>
      <c r="J92" s="11"/>
      <c r="K92" s="7" t="str">
        <f t="shared" si="9"/>
        <v>Y</v>
      </c>
      <c r="L92" s="7"/>
      <c r="M92" s="9">
        <v>4</v>
      </c>
      <c r="N92" s="6" t="s">
        <v>58</v>
      </c>
      <c r="O92" s="9" t="s">
        <v>7</v>
      </c>
      <c r="P92" s="9" t="s">
        <v>16</v>
      </c>
      <c r="Q92" s="9">
        <v>152</v>
      </c>
      <c r="R92" s="9">
        <v>2013</v>
      </c>
      <c r="S92" s="9" t="s">
        <v>60</v>
      </c>
      <c r="T92" s="6" t="s">
        <v>49</v>
      </c>
      <c r="U92" s="6" t="s">
        <v>50</v>
      </c>
      <c r="V92" s="24"/>
      <c r="W92" s="24"/>
      <c r="Y92" s="17">
        <f t="shared" si="3"/>
        <v>9</v>
      </c>
      <c r="Z92" s="21" t="str">
        <f t="shared" si="4"/>
        <v>BASA SUNDA</v>
      </c>
      <c r="AA92" s="6" t="str">
        <f t="shared" si="5"/>
        <v>Y</v>
      </c>
      <c r="AB92" s="17"/>
    </row>
    <row r="93" spans="4:28" ht="22.5" customHeight="1" x14ac:dyDescent="0.25">
      <c r="D93" s="50"/>
      <c r="E93" s="13"/>
      <c r="F93" s="11"/>
      <c r="G93" s="11"/>
      <c r="H93" s="11"/>
      <c r="I93" s="11">
        <v>15</v>
      </c>
      <c r="J93" s="11"/>
      <c r="K93" s="7"/>
      <c r="L93" s="7"/>
      <c r="M93" s="9">
        <v>5</v>
      </c>
      <c r="N93" s="6" t="s">
        <v>58</v>
      </c>
      <c r="O93" s="9" t="s">
        <v>59</v>
      </c>
      <c r="P93" s="9"/>
      <c r="Q93" s="9"/>
      <c r="R93" s="9"/>
      <c r="S93" s="9"/>
      <c r="T93" s="6"/>
      <c r="U93" s="6" t="s">
        <v>50</v>
      </c>
      <c r="V93" s="24"/>
      <c r="W93" s="24"/>
      <c r="Y93" s="17">
        <f t="shared" si="3"/>
        <v>4</v>
      </c>
      <c r="Z93" s="21" t="str">
        <f t="shared" si="4"/>
        <v>BASA SUNDA</v>
      </c>
      <c r="AA93" s="6" t="str">
        <f t="shared" si="5"/>
        <v>N</v>
      </c>
      <c r="AB93" s="17"/>
    </row>
    <row r="94" spans="4:28" ht="22.5" customHeight="1" x14ac:dyDescent="0.25">
      <c r="D94" s="51"/>
      <c r="E94" s="13"/>
      <c r="F94" s="11"/>
      <c r="G94" s="11"/>
      <c r="H94" s="11"/>
      <c r="I94" s="11"/>
      <c r="J94" s="11">
        <v>15</v>
      </c>
      <c r="K94" s="7"/>
      <c r="L94" s="7"/>
      <c r="M94" s="9">
        <v>6</v>
      </c>
      <c r="N94" s="6" t="s">
        <v>58</v>
      </c>
      <c r="O94" s="9" t="s">
        <v>59</v>
      </c>
      <c r="P94" s="9"/>
      <c r="Q94" s="9"/>
      <c r="R94" s="9"/>
      <c r="S94" s="9"/>
      <c r="T94" s="6"/>
      <c r="U94" s="6" t="s">
        <v>50</v>
      </c>
      <c r="V94" s="24"/>
      <c r="W94" s="24"/>
      <c r="Y94" s="17">
        <f t="shared" si="3"/>
        <v>4</v>
      </c>
      <c r="Z94" s="21" t="str">
        <f t="shared" si="4"/>
        <v>BASA SUNDA</v>
      </c>
      <c r="AA94" s="6" t="str">
        <f t="shared" si="5"/>
        <v>N</v>
      </c>
      <c r="AB94" s="17"/>
    </row>
    <row r="95" spans="4:28" ht="22.5" customHeight="1" x14ac:dyDescent="0.25">
      <c r="D95" s="49">
        <v>16</v>
      </c>
      <c r="E95" s="11">
        <v>16</v>
      </c>
      <c r="F95" s="11"/>
      <c r="G95" s="11"/>
      <c r="H95" s="11"/>
      <c r="I95" s="11"/>
      <c r="J95" s="11"/>
      <c r="K95" s="7" t="str">
        <f>AA95</f>
        <v>N</v>
      </c>
      <c r="L95" s="7"/>
      <c r="M95" s="9">
        <v>1</v>
      </c>
      <c r="N95" s="10" t="s">
        <v>35</v>
      </c>
      <c r="O95" s="9" t="s">
        <v>14</v>
      </c>
      <c r="P95" s="9"/>
      <c r="Q95" s="9"/>
      <c r="R95" s="9"/>
      <c r="S95" s="9"/>
      <c r="T95" s="6"/>
      <c r="U95" s="6" t="s">
        <v>57</v>
      </c>
      <c r="V95" s="24"/>
      <c r="W95" s="24"/>
      <c r="Y95" s="17">
        <f t="shared" si="3"/>
        <v>4</v>
      </c>
      <c r="Z95" s="21" t="str">
        <f t="shared" si="4"/>
        <v>AL-QUR'AN HADITS</v>
      </c>
      <c r="AA95" s="6" t="str">
        <f t="shared" si="5"/>
        <v>N</v>
      </c>
      <c r="AB95" s="17"/>
    </row>
    <row r="96" spans="4:28" ht="22.5" customHeight="1" x14ac:dyDescent="0.25">
      <c r="D96" s="50"/>
      <c r="E96" s="11"/>
      <c r="F96" s="11">
        <v>16</v>
      </c>
      <c r="G96" s="11"/>
      <c r="H96" s="11"/>
      <c r="I96" s="11"/>
      <c r="J96" s="11"/>
      <c r="K96" s="7" t="str">
        <f t="shared" ref="K96:K98" si="10">AA96</f>
        <v>N</v>
      </c>
      <c r="L96" s="7"/>
      <c r="M96" s="9">
        <v>2</v>
      </c>
      <c r="N96" s="10" t="s">
        <v>35</v>
      </c>
      <c r="O96" s="9" t="s">
        <v>14</v>
      </c>
      <c r="P96" s="9"/>
      <c r="Q96" s="9"/>
      <c r="R96" s="9"/>
      <c r="S96" s="9"/>
      <c r="T96" s="6"/>
      <c r="U96" s="6" t="s">
        <v>57</v>
      </c>
      <c r="V96" s="24"/>
      <c r="W96" s="24"/>
      <c r="Y96" s="17">
        <f t="shared" si="3"/>
        <v>4</v>
      </c>
      <c r="Z96" s="21" t="str">
        <f t="shared" si="4"/>
        <v>AL-QUR'AN HADITS</v>
      </c>
      <c r="AA96" s="6" t="str">
        <f t="shared" si="5"/>
        <v>N</v>
      </c>
      <c r="AB96" s="17"/>
    </row>
    <row r="97" spans="4:28" ht="22.5" customHeight="1" x14ac:dyDescent="0.25">
      <c r="D97" s="50"/>
      <c r="E97" s="11"/>
      <c r="F97" s="11"/>
      <c r="G97" s="11">
        <v>16</v>
      </c>
      <c r="H97" s="11"/>
      <c r="I97" s="11"/>
      <c r="J97" s="11"/>
      <c r="K97" s="7" t="str">
        <f t="shared" si="10"/>
        <v>N</v>
      </c>
      <c r="L97" s="7"/>
      <c r="M97" s="9">
        <v>3</v>
      </c>
      <c r="N97" s="9" t="s">
        <v>35</v>
      </c>
      <c r="O97" s="9" t="s">
        <v>7</v>
      </c>
      <c r="P97" s="9"/>
      <c r="Q97" s="9"/>
      <c r="R97" s="9"/>
      <c r="S97" s="9"/>
      <c r="T97" s="10"/>
      <c r="U97" s="6" t="s">
        <v>57</v>
      </c>
      <c r="V97" s="24"/>
      <c r="W97" s="24"/>
      <c r="Y97" s="17">
        <f t="shared" si="3"/>
        <v>4</v>
      </c>
      <c r="Z97" s="21" t="str">
        <f t="shared" si="4"/>
        <v>AL-QUR'AN HADITS</v>
      </c>
      <c r="AA97" s="6" t="str">
        <f t="shared" si="5"/>
        <v>N</v>
      </c>
      <c r="AB97" s="17"/>
    </row>
    <row r="98" spans="4:28" ht="22.5" customHeight="1" x14ac:dyDescent="0.25">
      <c r="D98" s="50"/>
      <c r="E98" s="13"/>
      <c r="F98" s="11"/>
      <c r="G98" s="11"/>
      <c r="H98" s="11">
        <v>16</v>
      </c>
      <c r="I98" s="11"/>
      <c r="J98" s="11"/>
      <c r="K98" s="7" t="str">
        <f t="shared" si="10"/>
        <v>N</v>
      </c>
      <c r="L98" s="7"/>
      <c r="M98" s="9">
        <v>4</v>
      </c>
      <c r="N98" s="9" t="s">
        <v>35</v>
      </c>
      <c r="O98" s="9" t="s">
        <v>7</v>
      </c>
      <c r="P98" s="9"/>
      <c r="Q98" s="9"/>
      <c r="R98" s="9"/>
      <c r="S98" s="9"/>
      <c r="T98" s="6"/>
      <c r="U98" s="6" t="s">
        <v>57</v>
      </c>
      <c r="V98" s="24"/>
      <c r="W98" s="24"/>
      <c r="Y98" s="17">
        <f t="shared" si="3"/>
        <v>4</v>
      </c>
      <c r="Z98" s="21" t="str">
        <f t="shared" si="4"/>
        <v>AL-QUR'AN HADITS</v>
      </c>
      <c r="AA98" s="6" t="str">
        <f t="shared" si="5"/>
        <v>N</v>
      </c>
      <c r="AB98" s="17"/>
    </row>
    <row r="99" spans="4:28" ht="22.5" customHeight="1" x14ac:dyDescent="0.25">
      <c r="D99" s="50"/>
      <c r="E99" s="13"/>
      <c r="F99" s="11"/>
      <c r="G99" s="11"/>
      <c r="H99" s="11"/>
      <c r="I99" s="11">
        <v>16</v>
      </c>
      <c r="J99" s="11"/>
      <c r="K99" s="7"/>
      <c r="L99" s="7"/>
      <c r="M99" s="9">
        <v>5</v>
      </c>
      <c r="N99" s="9" t="s">
        <v>35</v>
      </c>
      <c r="O99" s="9" t="s">
        <v>59</v>
      </c>
      <c r="P99" s="9"/>
      <c r="Q99" s="9"/>
      <c r="R99" s="9"/>
      <c r="S99" s="9"/>
      <c r="T99" s="6"/>
      <c r="U99" s="6" t="s">
        <v>57</v>
      </c>
      <c r="V99" s="24"/>
      <c r="W99" s="24"/>
      <c r="Y99" s="17">
        <f t="shared" si="3"/>
        <v>4</v>
      </c>
      <c r="Z99" s="21" t="str">
        <f t="shared" si="4"/>
        <v>AL-QUR'AN HADITS</v>
      </c>
      <c r="AA99" s="6" t="str">
        <f t="shared" si="5"/>
        <v>N</v>
      </c>
      <c r="AB99" s="17"/>
    </row>
    <row r="100" spans="4:28" ht="22.5" customHeight="1" x14ac:dyDescent="0.25">
      <c r="D100" s="51"/>
      <c r="E100" s="13"/>
      <c r="F100" s="11"/>
      <c r="G100" s="11"/>
      <c r="H100" s="11"/>
      <c r="I100" s="11"/>
      <c r="J100" s="11">
        <v>16</v>
      </c>
      <c r="K100" s="7"/>
      <c r="L100" s="7"/>
      <c r="M100" s="9">
        <v>6</v>
      </c>
      <c r="N100" s="9" t="s">
        <v>35</v>
      </c>
      <c r="O100" s="9" t="s">
        <v>59</v>
      </c>
      <c r="P100" s="9"/>
      <c r="Q100" s="9"/>
      <c r="R100" s="9"/>
      <c r="S100" s="9"/>
      <c r="T100" s="6"/>
      <c r="U100" s="6" t="s">
        <v>57</v>
      </c>
      <c r="V100" s="24"/>
      <c r="W100" s="24"/>
      <c r="Y100" s="17">
        <f t="shared" si="3"/>
        <v>4</v>
      </c>
      <c r="Z100" s="21" t="str">
        <f t="shared" si="4"/>
        <v>AL-QUR'AN HADITS</v>
      </c>
      <c r="AA100" s="6" t="str">
        <f t="shared" si="5"/>
        <v>N</v>
      </c>
      <c r="AB100" s="17"/>
    </row>
    <row r="101" spans="4:28" ht="22.5" customHeight="1" x14ac:dyDescent="0.25">
      <c r="D101" s="49">
        <v>17</v>
      </c>
      <c r="E101" s="11">
        <v>17</v>
      </c>
      <c r="F101" s="11"/>
      <c r="G101" s="11"/>
      <c r="H101" s="11"/>
      <c r="I101" s="11"/>
      <c r="J101" s="11"/>
      <c r="K101" s="7" t="str">
        <f>AA101</f>
        <v>N</v>
      </c>
      <c r="L101" s="7"/>
      <c r="M101" s="9">
        <v>1</v>
      </c>
      <c r="N101" s="9" t="s">
        <v>48</v>
      </c>
      <c r="O101" s="9" t="s">
        <v>14</v>
      </c>
      <c r="P101" s="9" t="s">
        <v>8</v>
      </c>
      <c r="Q101" s="9"/>
      <c r="R101" s="9"/>
      <c r="S101" s="9"/>
      <c r="T101" s="10"/>
      <c r="U101" s="10" t="s">
        <v>53</v>
      </c>
      <c r="V101" s="14"/>
      <c r="W101" s="14"/>
      <c r="Y101" s="17">
        <f t="shared" si="3"/>
        <v>5</v>
      </c>
      <c r="Z101" s="21" t="str">
        <f t="shared" si="4"/>
        <v>SKI KELAS 7</v>
      </c>
      <c r="AA101" s="6" t="str">
        <f t="shared" si="5"/>
        <v>N</v>
      </c>
      <c r="AB101" s="17"/>
    </row>
    <row r="102" spans="4:28" ht="22.5" customHeight="1" x14ac:dyDescent="0.25">
      <c r="D102" s="50"/>
      <c r="E102" s="11"/>
      <c r="F102" s="11">
        <v>17</v>
      </c>
      <c r="G102" s="11"/>
      <c r="H102" s="11"/>
      <c r="I102" s="11"/>
      <c r="J102" s="11"/>
      <c r="K102" s="7" t="str">
        <f t="shared" ref="K102:K104" si="11">AA102</f>
        <v>N</v>
      </c>
      <c r="L102" s="7"/>
      <c r="M102" s="9">
        <v>2</v>
      </c>
      <c r="N102" s="10" t="s">
        <v>48</v>
      </c>
      <c r="O102" s="9" t="s">
        <v>14</v>
      </c>
      <c r="P102" s="9" t="s">
        <v>13</v>
      </c>
      <c r="Q102" s="9"/>
      <c r="R102" s="9"/>
      <c r="S102" s="9"/>
      <c r="T102" s="10"/>
      <c r="U102" s="10" t="s">
        <v>53</v>
      </c>
      <c r="V102" s="14"/>
      <c r="W102" s="14"/>
      <c r="Y102" s="17">
        <f t="shared" si="3"/>
        <v>5</v>
      </c>
      <c r="Z102" s="21" t="str">
        <f t="shared" si="4"/>
        <v>SKI KELAS 7</v>
      </c>
      <c r="AA102" s="6" t="str">
        <f t="shared" si="5"/>
        <v>N</v>
      </c>
      <c r="AB102" s="17"/>
    </row>
    <row r="103" spans="4:28" ht="22.5" customHeight="1" x14ac:dyDescent="0.25">
      <c r="D103" s="50"/>
      <c r="E103" s="11"/>
      <c r="F103" s="11"/>
      <c r="G103" s="11">
        <v>17</v>
      </c>
      <c r="H103" s="11"/>
      <c r="I103" s="11"/>
      <c r="J103" s="11"/>
      <c r="K103" s="7" t="str">
        <f t="shared" si="11"/>
        <v>N</v>
      </c>
      <c r="L103" s="7"/>
      <c r="M103" s="9">
        <v>3</v>
      </c>
      <c r="N103" s="9" t="s">
        <v>39</v>
      </c>
      <c r="O103" s="9" t="s">
        <v>7</v>
      </c>
      <c r="P103" s="9" t="s">
        <v>8</v>
      </c>
      <c r="Q103" s="9"/>
      <c r="R103" s="9"/>
      <c r="S103" s="9"/>
      <c r="T103" s="6"/>
      <c r="U103" s="6" t="s">
        <v>37</v>
      </c>
      <c r="V103" s="24"/>
      <c r="W103" s="24"/>
      <c r="Y103" s="17">
        <f t="shared" si="3"/>
        <v>5</v>
      </c>
      <c r="Z103" s="21" t="str">
        <f t="shared" si="4"/>
        <v>SKI KELAS 8</v>
      </c>
      <c r="AA103" s="6" t="str">
        <f t="shared" si="5"/>
        <v>N</v>
      </c>
      <c r="AB103" s="17"/>
    </row>
    <row r="104" spans="4:28" ht="22.5" customHeight="1" x14ac:dyDescent="0.25">
      <c r="D104" s="50"/>
      <c r="E104" s="13"/>
      <c r="F104" s="11"/>
      <c r="G104" s="11"/>
      <c r="H104" s="11">
        <v>17</v>
      </c>
      <c r="I104" s="11"/>
      <c r="J104" s="11"/>
      <c r="K104" s="7" t="str">
        <f t="shared" si="11"/>
        <v>N</v>
      </c>
      <c r="L104" s="7"/>
      <c r="M104" s="9">
        <v>4</v>
      </c>
      <c r="N104" s="10" t="s">
        <v>39</v>
      </c>
      <c r="O104" s="9" t="s">
        <v>7</v>
      </c>
      <c r="P104" s="9" t="s">
        <v>13</v>
      </c>
      <c r="Q104" s="9"/>
      <c r="R104" s="9"/>
      <c r="S104" s="9"/>
      <c r="T104" s="6"/>
      <c r="U104" s="6" t="s">
        <v>37</v>
      </c>
      <c r="V104" s="24"/>
      <c r="W104" s="24"/>
      <c r="Y104" s="17">
        <f t="shared" si="3"/>
        <v>5</v>
      </c>
      <c r="Z104" s="21" t="str">
        <f t="shared" si="4"/>
        <v>SKI KELAS 8</v>
      </c>
      <c r="AA104" s="6" t="str">
        <f t="shared" si="5"/>
        <v>N</v>
      </c>
      <c r="AB104" s="17"/>
    </row>
    <row r="105" spans="4:28" ht="22.5" customHeight="1" x14ac:dyDescent="0.25">
      <c r="D105" s="50"/>
      <c r="E105" s="13"/>
      <c r="F105" s="11"/>
      <c r="G105" s="11"/>
      <c r="H105" s="11"/>
      <c r="I105" s="11">
        <v>17</v>
      </c>
      <c r="J105" s="11"/>
      <c r="K105" s="7"/>
      <c r="L105" s="7"/>
      <c r="M105" s="9">
        <v>5</v>
      </c>
      <c r="N105" s="9" t="s">
        <v>61</v>
      </c>
      <c r="O105" s="9" t="s">
        <v>59</v>
      </c>
      <c r="P105" s="9" t="s">
        <v>8</v>
      </c>
      <c r="Q105" s="9"/>
      <c r="R105" s="9"/>
      <c r="S105" s="9"/>
      <c r="T105" s="9"/>
      <c r="U105" s="9" t="s">
        <v>53</v>
      </c>
      <c r="V105" s="14"/>
      <c r="W105" s="14"/>
      <c r="Y105" s="17">
        <f t="shared" si="3"/>
        <v>5</v>
      </c>
      <c r="Z105" s="21" t="str">
        <f t="shared" si="4"/>
        <v>SKI</v>
      </c>
      <c r="AA105" s="6" t="str">
        <f t="shared" si="5"/>
        <v>N</v>
      </c>
      <c r="AB105" s="17"/>
    </row>
    <row r="106" spans="4:28" ht="22.5" customHeight="1" x14ac:dyDescent="0.25">
      <c r="D106" s="51"/>
      <c r="E106" s="13"/>
      <c r="F106" s="11"/>
      <c r="G106" s="11"/>
      <c r="H106" s="11"/>
      <c r="I106" s="11"/>
      <c r="J106" s="11">
        <v>17</v>
      </c>
      <c r="K106" s="7"/>
      <c r="L106" s="7"/>
      <c r="M106" s="9">
        <v>6</v>
      </c>
      <c r="N106" s="9" t="s">
        <v>61</v>
      </c>
      <c r="O106" s="9" t="s">
        <v>59</v>
      </c>
      <c r="P106" s="9" t="s">
        <v>13</v>
      </c>
      <c r="Q106" s="9"/>
      <c r="R106" s="9"/>
      <c r="S106" s="9"/>
      <c r="T106" s="9"/>
      <c r="U106" s="9" t="s">
        <v>53</v>
      </c>
      <c r="V106" s="14"/>
      <c r="W106" s="14"/>
      <c r="Y106" s="17">
        <f t="shared" si="3"/>
        <v>5</v>
      </c>
      <c r="Z106" s="21" t="str">
        <f t="shared" si="4"/>
        <v>SKI</v>
      </c>
      <c r="AA106" s="6" t="str">
        <f t="shared" si="5"/>
        <v>N</v>
      </c>
      <c r="AB106" s="17"/>
    </row>
    <row r="107" spans="4:28" ht="22.5" customHeight="1" x14ac:dyDescent="0.25">
      <c r="D107" s="49">
        <v>18</v>
      </c>
      <c r="E107" s="11">
        <v>18</v>
      </c>
      <c r="F107" s="11"/>
      <c r="G107" s="11"/>
      <c r="H107" s="11"/>
      <c r="I107" s="11"/>
      <c r="J107" s="11"/>
      <c r="K107" s="7" t="str">
        <f>AA107</f>
        <v>N</v>
      </c>
      <c r="L107" s="7"/>
      <c r="M107" s="9">
        <v>1</v>
      </c>
      <c r="N107" s="6" t="s">
        <v>24</v>
      </c>
      <c r="O107" s="9" t="s">
        <v>14</v>
      </c>
      <c r="P107" s="9" t="s">
        <v>8</v>
      </c>
      <c r="Q107" s="9"/>
      <c r="R107" s="9"/>
      <c r="S107" s="9"/>
      <c r="T107" s="6"/>
      <c r="U107" s="6" t="s">
        <v>25</v>
      </c>
      <c r="V107" s="24"/>
      <c r="W107" s="24"/>
      <c r="Y107" s="17">
        <f t="shared" si="3"/>
        <v>5</v>
      </c>
      <c r="Z107" s="21" t="str">
        <f t="shared" si="4"/>
        <v>MATEMATIKA</v>
      </c>
      <c r="AA107" s="6" t="str">
        <f t="shared" si="5"/>
        <v>N</v>
      </c>
      <c r="AB107" s="17"/>
    </row>
    <row r="108" spans="4:28" ht="22.5" customHeight="1" x14ac:dyDescent="0.25">
      <c r="D108" s="50"/>
      <c r="E108" s="11"/>
      <c r="F108" s="11">
        <v>18</v>
      </c>
      <c r="G108" s="11"/>
      <c r="H108" s="11"/>
      <c r="I108" s="11"/>
      <c r="J108" s="11"/>
      <c r="K108" s="7" t="str">
        <f t="shared" ref="K108:K110" si="12">AA108</f>
        <v>Y</v>
      </c>
      <c r="L108" s="7"/>
      <c r="M108" s="9">
        <v>2</v>
      </c>
      <c r="N108" s="6" t="s">
        <v>24</v>
      </c>
      <c r="O108" s="9" t="s">
        <v>14</v>
      </c>
      <c r="P108" s="9" t="s">
        <v>13</v>
      </c>
      <c r="Q108" s="9">
        <v>376</v>
      </c>
      <c r="R108" s="9">
        <v>2013</v>
      </c>
      <c r="S108" s="9" t="s">
        <v>20</v>
      </c>
      <c r="T108" s="6" t="s">
        <v>11</v>
      </c>
      <c r="U108" s="6" t="s">
        <v>25</v>
      </c>
      <c r="V108" s="24"/>
      <c r="W108" s="24"/>
      <c r="Y108" s="17">
        <f t="shared" si="3"/>
        <v>9</v>
      </c>
      <c r="Z108" s="21" t="str">
        <f t="shared" si="4"/>
        <v>MATEMATIKA</v>
      </c>
      <c r="AA108" s="6" t="str">
        <f t="shared" si="5"/>
        <v>Y</v>
      </c>
      <c r="AB108" s="17"/>
    </row>
    <row r="109" spans="4:28" ht="22.5" customHeight="1" x14ac:dyDescent="0.25">
      <c r="D109" s="50"/>
      <c r="E109" s="11"/>
      <c r="F109" s="11"/>
      <c r="G109" s="11">
        <v>18</v>
      </c>
      <c r="H109" s="11"/>
      <c r="I109" s="11"/>
      <c r="J109" s="11"/>
      <c r="K109" s="7" t="str">
        <f t="shared" si="12"/>
        <v>N</v>
      </c>
      <c r="L109" s="7"/>
      <c r="M109" s="9">
        <v>3</v>
      </c>
      <c r="N109" s="6" t="s">
        <v>24</v>
      </c>
      <c r="O109" s="9" t="s">
        <v>7</v>
      </c>
      <c r="P109" s="9" t="s">
        <v>8</v>
      </c>
      <c r="Q109" s="9"/>
      <c r="R109" s="9"/>
      <c r="S109" s="9"/>
      <c r="T109" s="6"/>
      <c r="U109" s="6" t="s">
        <v>25</v>
      </c>
      <c r="V109" s="24"/>
      <c r="W109" s="24"/>
      <c r="Y109" s="17">
        <f t="shared" si="3"/>
        <v>5</v>
      </c>
      <c r="Z109" s="21" t="str">
        <f t="shared" si="4"/>
        <v>MATEMATIKA</v>
      </c>
      <c r="AA109" s="6" t="str">
        <f t="shared" si="5"/>
        <v>N</v>
      </c>
      <c r="AB109" s="17"/>
    </row>
    <row r="110" spans="4:28" ht="22.5" customHeight="1" x14ac:dyDescent="0.25">
      <c r="D110" s="50"/>
      <c r="E110" s="13"/>
      <c r="F110" s="11"/>
      <c r="G110" s="11"/>
      <c r="H110" s="11">
        <v>18</v>
      </c>
      <c r="I110" s="11"/>
      <c r="J110" s="11"/>
      <c r="K110" s="7" t="str">
        <f t="shared" si="12"/>
        <v>Y</v>
      </c>
      <c r="L110" s="7"/>
      <c r="M110" s="9">
        <v>4</v>
      </c>
      <c r="N110" s="6" t="s">
        <v>24</v>
      </c>
      <c r="O110" s="9" t="s">
        <v>7</v>
      </c>
      <c r="P110" s="9" t="s">
        <v>13</v>
      </c>
      <c r="Q110" s="9">
        <v>344</v>
      </c>
      <c r="R110" s="9">
        <v>2013</v>
      </c>
      <c r="S110" s="9" t="s">
        <v>20</v>
      </c>
      <c r="T110" s="6" t="s">
        <v>11</v>
      </c>
      <c r="U110" s="6" t="s">
        <v>25</v>
      </c>
      <c r="V110" s="24"/>
      <c r="W110" s="24"/>
      <c r="Y110" s="17">
        <f t="shared" si="3"/>
        <v>9</v>
      </c>
      <c r="Z110" s="21" t="str">
        <f t="shared" si="4"/>
        <v>MATEMATIKA</v>
      </c>
      <c r="AA110" s="6" t="str">
        <f t="shared" si="5"/>
        <v>Y</v>
      </c>
      <c r="AB110" s="17"/>
    </row>
    <row r="111" spans="4:28" ht="22.5" customHeight="1" x14ac:dyDescent="0.25">
      <c r="D111" s="50"/>
      <c r="E111" s="13"/>
      <c r="F111" s="11"/>
      <c r="G111" s="11"/>
      <c r="H111" s="11"/>
      <c r="I111" s="11">
        <v>18</v>
      </c>
      <c r="J111" s="11"/>
      <c r="K111" s="7"/>
      <c r="L111" s="7"/>
      <c r="M111" s="9">
        <v>5</v>
      </c>
      <c r="N111" s="6" t="s">
        <v>24</v>
      </c>
      <c r="O111" s="9" t="s">
        <v>59</v>
      </c>
      <c r="P111" s="9"/>
      <c r="Q111" s="9"/>
      <c r="R111" s="9"/>
      <c r="S111" s="9"/>
      <c r="T111" s="6"/>
      <c r="U111" s="6" t="s">
        <v>25</v>
      </c>
      <c r="V111" s="24"/>
      <c r="W111" s="24"/>
      <c r="Y111" s="17">
        <f t="shared" si="3"/>
        <v>4</v>
      </c>
      <c r="Z111" s="21" t="str">
        <f t="shared" si="4"/>
        <v>MATEMATIKA</v>
      </c>
      <c r="AA111" s="6" t="str">
        <f t="shared" si="5"/>
        <v>N</v>
      </c>
      <c r="AB111" s="17"/>
    </row>
    <row r="112" spans="4:28" ht="22.5" customHeight="1" x14ac:dyDescent="0.25">
      <c r="D112" s="51"/>
      <c r="E112" s="13"/>
      <c r="F112" s="11"/>
      <c r="G112" s="11"/>
      <c r="H112" s="11"/>
      <c r="I112" s="11"/>
      <c r="J112" s="11">
        <v>18</v>
      </c>
      <c r="K112" s="7"/>
      <c r="L112" s="7"/>
      <c r="M112" s="9">
        <v>6</v>
      </c>
      <c r="N112" s="6" t="s">
        <v>24</v>
      </c>
      <c r="O112" s="9" t="s">
        <v>59</v>
      </c>
      <c r="P112" s="9"/>
      <c r="Q112" s="9"/>
      <c r="R112" s="9"/>
      <c r="S112" s="9"/>
      <c r="T112" s="6"/>
      <c r="U112" s="6" t="s">
        <v>25</v>
      </c>
      <c r="V112" s="24"/>
      <c r="W112" s="24"/>
      <c r="Y112" s="17">
        <f t="shared" si="3"/>
        <v>4</v>
      </c>
      <c r="Z112" s="21" t="str">
        <f t="shared" si="4"/>
        <v>MATEMATIKA</v>
      </c>
      <c r="AA112" s="6" t="str">
        <f t="shared" si="5"/>
        <v>N</v>
      </c>
      <c r="AB112" s="17"/>
    </row>
    <row r="113" spans="4:28" ht="22.5" customHeight="1" x14ac:dyDescent="0.25">
      <c r="D113" s="49">
        <v>19</v>
      </c>
      <c r="E113" s="11">
        <v>19</v>
      </c>
      <c r="F113" s="11"/>
      <c r="G113" s="11"/>
      <c r="H113" s="11"/>
      <c r="I113" s="11"/>
      <c r="J113" s="11"/>
      <c r="K113" s="7"/>
      <c r="L113" s="7"/>
      <c r="M113" s="9"/>
      <c r="N113" s="1"/>
      <c r="O113" s="9"/>
      <c r="P113" s="9"/>
      <c r="Q113" s="9"/>
      <c r="R113" s="9"/>
      <c r="S113" s="9"/>
      <c r="T113" s="6"/>
      <c r="U113" s="6"/>
      <c r="V113" s="24"/>
      <c r="W113" s="24"/>
      <c r="Y113" s="17">
        <f t="shared" si="3"/>
        <v>0</v>
      </c>
      <c r="Z113" s="21">
        <f t="shared" si="4"/>
        <v>0</v>
      </c>
      <c r="AA113" s="6" t="str">
        <f t="shared" si="5"/>
        <v>N</v>
      </c>
      <c r="AB113" s="17"/>
    </row>
    <row r="114" spans="4:28" ht="22.5" customHeight="1" x14ac:dyDescent="0.25">
      <c r="D114" s="50"/>
      <c r="E114" s="11"/>
      <c r="F114" s="11">
        <v>19</v>
      </c>
      <c r="G114" s="11"/>
      <c r="H114" s="11"/>
      <c r="I114" s="11"/>
      <c r="J114" s="11"/>
      <c r="K114" s="7"/>
      <c r="L114" s="7"/>
      <c r="M114" s="9"/>
      <c r="N114" s="6"/>
      <c r="O114" s="9"/>
      <c r="P114" s="9"/>
      <c r="Q114" s="9"/>
      <c r="R114" s="9"/>
      <c r="S114" s="9"/>
      <c r="T114" s="6"/>
      <c r="U114" s="6"/>
      <c r="V114" s="24"/>
      <c r="W114" s="24"/>
      <c r="Y114" s="17">
        <f t="shared" si="3"/>
        <v>0</v>
      </c>
      <c r="Z114" s="21">
        <f t="shared" si="4"/>
        <v>0</v>
      </c>
      <c r="AA114" s="6" t="str">
        <f t="shared" si="5"/>
        <v>N</v>
      </c>
      <c r="AB114" s="17"/>
    </row>
    <row r="115" spans="4:28" ht="22.5" customHeight="1" x14ac:dyDescent="0.25">
      <c r="D115" s="50"/>
      <c r="E115" s="11"/>
      <c r="F115" s="11"/>
      <c r="G115" s="11">
        <v>19</v>
      </c>
      <c r="H115" s="11"/>
      <c r="I115" s="11"/>
      <c r="J115" s="11"/>
      <c r="K115" s="7"/>
      <c r="L115" s="7"/>
      <c r="M115" s="9"/>
      <c r="N115" s="6"/>
      <c r="O115" s="9"/>
      <c r="P115" s="9"/>
      <c r="Q115" s="9"/>
      <c r="R115" s="9"/>
      <c r="S115" s="9"/>
      <c r="T115" s="6"/>
      <c r="U115" s="6"/>
      <c r="V115" s="24"/>
      <c r="W115" s="24"/>
      <c r="Y115" s="17">
        <f t="shared" si="3"/>
        <v>0</v>
      </c>
      <c r="Z115" s="21">
        <f t="shared" si="4"/>
        <v>0</v>
      </c>
      <c r="AA115" s="6" t="str">
        <f t="shared" si="5"/>
        <v>N</v>
      </c>
      <c r="AB115" s="17"/>
    </row>
    <row r="116" spans="4:28" ht="22.5" customHeight="1" x14ac:dyDescent="0.25">
      <c r="D116" s="50"/>
      <c r="E116" s="13"/>
      <c r="F116" s="11"/>
      <c r="G116" s="11"/>
      <c r="H116" s="11">
        <v>19</v>
      </c>
      <c r="I116" s="11"/>
      <c r="J116" s="11"/>
      <c r="K116" s="7"/>
      <c r="L116" s="7"/>
      <c r="M116" s="9"/>
      <c r="N116" s="6"/>
      <c r="O116" s="9"/>
      <c r="P116" s="9"/>
      <c r="Q116" s="9"/>
      <c r="R116" s="9"/>
      <c r="S116" s="9"/>
      <c r="T116" s="6"/>
      <c r="U116" s="6"/>
      <c r="V116" s="24"/>
      <c r="W116" s="24"/>
      <c r="Y116" s="17">
        <f t="shared" si="3"/>
        <v>0</v>
      </c>
      <c r="Z116" s="21">
        <f t="shared" si="4"/>
        <v>0</v>
      </c>
      <c r="AA116" s="6" t="str">
        <f t="shared" si="5"/>
        <v>N</v>
      </c>
      <c r="AB116" s="17"/>
    </row>
    <row r="117" spans="4:28" ht="22.5" customHeight="1" x14ac:dyDescent="0.25">
      <c r="D117" s="50"/>
      <c r="E117" s="13"/>
      <c r="F117" s="11"/>
      <c r="G117" s="11"/>
      <c r="H117" s="11"/>
      <c r="I117" s="11">
        <v>19</v>
      </c>
      <c r="J117" s="11"/>
      <c r="K117" s="7"/>
      <c r="L117" s="7"/>
      <c r="M117" s="9"/>
      <c r="N117" s="6"/>
      <c r="O117" s="9"/>
      <c r="P117" s="9"/>
      <c r="Q117" s="9"/>
      <c r="R117" s="9"/>
      <c r="S117" s="9"/>
      <c r="T117" s="6"/>
      <c r="U117" s="6"/>
      <c r="V117" s="24"/>
      <c r="W117" s="24"/>
      <c r="Y117" s="17">
        <f t="shared" si="3"/>
        <v>0</v>
      </c>
      <c r="Z117" s="21">
        <f t="shared" si="4"/>
        <v>0</v>
      </c>
      <c r="AA117" s="6" t="str">
        <f t="shared" si="5"/>
        <v>N</v>
      </c>
      <c r="AB117" s="17"/>
    </row>
    <row r="118" spans="4:28" ht="22.5" customHeight="1" x14ac:dyDescent="0.25">
      <c r="D118" s="51"/>
      <c r="E118" s="13"/>
      <c r="F118" s="11"/>
      <c r="G118" s="11"/>
      <c r="H118" s="11"/>
      <c r="I118" s="11"/>
      <c r="J118" s="11">
        <v>19</v>
      </c>
      <c r="K118" s="7"/>
      <c r="L118" s="7"/>
      <c r="M118" s="9"/>
      <c r="N118" s="6"/>
      <c r="O118" s="9"/>
      <c r="P118" s="9"/>
      <c r="Q118" s="9"/>
      <c r="R118" s="9"/>
      <c r="S118" s="9"/>
      <c r="T118" s="6"/>
      <c r="U118" s="6"/>
      <c r="V118" s="24"/>
      <c r="W118" s="24"/>
      <c r="Y118" s="17">
        <f t="shared" si="3"/>
        <v>0</v>
      </c>
      <c r="Z118" s="21">
        <f t="shared" si="4"/>
        <v>0</v>
      </c>
      <c r="AA118" s="6" t="str">
        <f t="shared" si="5"/>
        <v>N</v>
      </c>
      <c r="AB118" s="17"/>
    </row>
    <row r="119" spans="4:28" ht="22.5" customHeight="1" x14ac:dyDescent="0.25">
      <c r="D119" s="49">
        <v>20</v>
      </c>
      <c r="E119" s="11">
        <v>20</v>
      </c>
      <c r="F119" s="11"/>
      <c r="G119" s="11"/>
      <c r="H119" s="11"/>
      <c r="I119" s="11"/>
      <c r="J119" s="11"/>
      <c r="K119" s="7"/>
      <c r="L119" s="7"/>
      <c r="M119" s="9"/>
      <c r="N119" s="6"/>
      <c r="O119" s="9"/>
      <c r="P119" s="9"/>
      <c r="Q119" s="9"/>
      <c r="R119" s="9"/>
      <c r="S119" s="9"/>
      <c r="T119" s="6"/>
      <c r="U119" s="6"/>
      <c r="V119" s="24"/>
      <c r="W119" s="24"/>
      <c r="Y119" s="17">
        <f t="shared" si="3"/>
        <v>0</v>
      </c>
      <c r="Z119" s="21">
        <f t="shared" si="4"/>
        <v>0</v>
      </c>
      <c r="AA119" s="6" t="str">
        <f t="shared" si="5"/>
        <v>N</v>
      </c>
      <c r="AB119" s="17"/>
    </row>
    <row r="120" spans="4:28" ht="22.5" customHeight="1" x14ac:dyDescent="0.25">
      <c r="D120" s="50"/>
      <c r="E120" s="11"/>
      <c r="F120" s="11">
        <v>20</v>
      </c>
      <c r="G120" s="11"/>
      <c r="H120" s="11"/>
      <c r="I120" s="11"/>
      <c r="J120" s="11"/>
      <c r="K120" s="7"/>
      <c r="L120" s="7"/>
      <c r="M120" s="9"/>
      <c r="N120" s="6"/>
      <c r="O120" s="9"/>
      <c r="P120" s="9"/>
      <c r="Q120" s="9"/>
      <c r="R120" s="9"/>
      <c r="S120" s="9"/>
      <c r="T120" s="6"/>
      <c r="U120" s="6"/>
      <c r="V120" s="24"/>
      <c r="W120" s="24"/>
      <c r="Y120" s="17">
        <f t="shared" si="3"/>
        <v>0</v>
      </c>
      <c r="Z120" s="21">
        <f t="shared" si="4"/>
        <v>0</v>
      </c>
      <c r="AA120" s="6" t="str">
        <f t="shared" si="5"/>
        <v>N</v>
      </c>
      <c r="AB120" s="17"/>
    </row>
    <row r="121" spans="4:28" ht="22.5" customHeight="1" x14ac:dyDescent="0.25">
      <c r="D121" s="50"/>
      <c r="E121" s="11"/>
      <c r="F121" s="11"/>
      <c r="G121" s="11">
        <v>20</v>
      </c>
      <c r="H121" s="11"/>
      <c r="I121" s="11"/>
      <c r="J121" s="11"/>
      <c r="K121" s="7"/>
      <c r="L121" s="7"/>
      <c r="M121" s="9"/>
      <c r="N121" s="6"/>
      <c r="O121" s="9"/>
      <c r="P121" s="9"/>
      <c r="Q121" s="9"/>
      <c r="R121" s="9"/>
      <c r="S121" s="9"/>
      <c r="T121" s="6"/>
      <c r="U121" s="6"/>
      <c r="V121" s="24"/>
      <c r="W121" s="24"/>
      <c r="Y121" s="17">
        <f t="shared" si="3"/>
        <v>0</v>
      </c>
      <c r="Z121" s="21">
        <f t="shared" si="4"/>
        <v>0</v>
      </c>
      <c r="AA121" s="6" t="str">
        <f t="shared" si="5"/>
        <v>N</v>
      </c>
      <c r="AB121" s="17"/>
    </row>
    <row r="122" spans="4:28" ht="22.5" customHeight="1" x14ac:dyDescent="0.25">
      <c r="D122" s="50"/>
      <c r="E122" s="13"/>
      <c r="F122" s="11"/>
      <c r="G122" s="11"/>
      <c r="H122" s="11">
        <v>20</v>
      </c>
      <c r="I122" s="11"/>
      <c r="J122" s="11"/>
      <c r="K122" s="7"/>
      <c r="L122" s="7"/>
      <c r="M122" s="9"/>
      <c r="N122" s="6"/>
      <c r="O122" s="9"/>
      <c r="P122" s="9"/>
      <c r="Q122" s="9"/>
      <c r="R122" s="9"/>
      <c r="S122" s="9"/>
      <c r="T122" s="6"/>
      <c r="U122" s="6"/>
      <c r="V122" s="24"/>
      <c r="W122" s="24"/>
      <c r="Y122" s="17">
        <f t="shared" si="3"/>
        <v>0</v>
      </c>
      <c r="Z122" s="21">
        <f t="shared" si="4"/>
        <v>0</v>
      </c>
      <c r="AA122" s="6" t="str">
        <f t="shared" si="5"/>
        <v>N</v>
      </c>
      <c r="AB122" s="17"/>
    </row>
    <row r="123" spans="4:28" ht="22.5" customHeight="1" x14ac:dyDescent="0.25">
      <c r="D123" s="50"/>
      <c r="E123" s="13"/>
      <c r="F123" s="11"/>
      <c r="G123" s="11"/>
      <c r="H123" s="11"/>
      <c r="I123" s="11">
        <v>20</v>
      </c>
      <c r="J123" s="11"/>
      <c r="K123" s="7"/>
      <c r="L123" s="7"/>
      <c r="M123" s="9"/>
      <c r="N123" s="6"/>
      <c r="O123" s="9"/>
      <c r="P123" s="9"/>
      <c r="Q123" s="9"/>
      <c r="R123" s="9"/>
      <c r="S123" s="9"/>
      <c r="T123" s="6"/>
      <c r="U123" s="6"/>
      <c r="V123" s="24"/>
      <c r="W123" s="24"/>
      <c r="Y123" s="17">
        <f t="shared" si="3"/>
        <v>0</v>
      </c>
      <c r="Z123" s="21">
        <f t="shared" si="4"/>
        <v>0</v>
      </c>
      <c r="AA123" s="6" t="str">
        <f t="shared" si="5"/>
        <v>N</v>
      </c>
      <c r="AB123" s="17"/>
    </row>
    <row r="124" spans="4:28" ht="22.5" customHeight="1" x14ac:dyDescent="0.25">
      <c r="D124" s="51"/>
      <c r="E124" s="13"/>
      <c r="F124" s="11"/>
      <c r="G124" s="11"/>
      <c r="H124" s="11"/>
      <c r="I124" s="11"/>
      <c r="J124" s="11">
        <v>20</v>
      </c>
      <c r="K124" s="7"/>
      <c r="L124" s="7"/>
      <c r="M124" s="9"/>
      <c r="N124" s="6"/>
      <c r="O124" s="9"/>
      <c r="P124" s="9"/>
      <c r="Q124" s="9"/>
      <c r="R124" s="9"/>
      <c r="S124" s="9"/>
      <c r="T124" s="6"/>
      <c r="U124" s="6"/>
      <c r="V124" s="24"/>
      <c r="W124" s="24"/>
      <c r="Y124" s="17">
        <f t="shared" si="3"/>
        <v>0</v>
      </c>
      <c r="Z124" s="21">
        <f t="shared" si="4"/>
        <v>0</v>
      </c>
      <c r="AA124" s="6" t="str">
        <f t="shared" si="5"/>
        <v>N</v>
      </c>
      <c r="AB124" s="17"/>
    </row>
    <row r="125" spans="4:28" ht="22.5" customHeight="1" x14ac:dyDescent="0.25">
      <c r="D125" s="52">
        <v>21</v>
      </c>
      <c r="E125" s="11">
        <v>21</v>
      </c>
      <c r="F125" s="11"/>
      <c r="G125" s="11"/>
      <c r="H125" s="11"/>
      <c r="I125" s="11"/>
      <c r="J125" s="11"/>
      <c r="K125" s="7"/>
      <c r="L125" s="7"/>
      <c r="M125" s="9"/>
      <c r="N125" s="6"/>
      <c r="O125" s="9"/>
      <c r="P125" s="9"/>
      <c r="Q125" s="9"/>
      <c r="R125" s="9"/>
      <c r="S125" s="9"/>
      <c r="T125" s="6"/>
      <c r="U125" s="6"/>
      <c r="V125" s="24"/>
      <c r="W125" s="24"/>
      <c r="Y125" s="17">
        <f t="shared" si="3"/>
        <v>0</v>
      </c>
      <c r="Z125" s="21">
        <f t="shared" si="4"/>
        <v>0</v>
      </c>
      <c r="AA125" s="6" t="str">
        <f t="shared" si="5"/>
        <v>N</v>
      </c>
      <c r="AB125" s="17"/>
    </row>
    <row r="126" spans="4:28" ht="22.5" customHeight="1" x14ac:dyDescent="0.25">
      <c r="D126" s="52"/>
      <c r="E126" s="11"/>
      <c r="F126" s="11">
        <v>21</v>
      </c>
      <c r="G126" s="11"/>
      <c r="H126" s="11"/>
      <c r="I126" s="11"/>
      <c r="J126" s="11"/>
      <c r="K126" s="7"/>
      <c r="L126" s="7"/>
      <c r="M126" s="9"/>
      <c r="N126" s="6"/>
      <c r="O126" s="9"/>
      <c r="P126" s="9"/>
      <c r="Q126" s="9"/>
      <c r="R126" s="9"/>
      <c r="S126" s="9"/>
      <c r="T126" s="6"/>
      <c r="U126" s="6"/>
      <c r="V126" s="24"/>
      <c r="W126" s="24"/>
      <c r="Y126" s="17">
        <f t="shared" si="3"/>
        <v>0</v>
      </c>
      <c r="Z126" s="21">
        <f t="shared" si="4"/>
        <v>0</v>
      </c>
      <c r="AA126" s="6" t="str">
        <f t="shared" si="5"/>
        <v>N</v>
      </c>
      <c r="AB126" s="17"/>
    </row>
    <row r="127" spans="4:28" ht="22.5" customHeight="1" x14ac:dyDescent="0.25">
      <c r="D127" s="52"/>
      <c r="E127" s="11"/>
      <c r="F127" s="11"/>
      <c r="G127" s="11">
        <v>21</v>
      </c>
      <c r="H127" s="11"/>
      <c r="I127" s="11"/>
      <c r="J127" s="11"/>
      <c r="K127" s="7"/>
      <c r="L127" s="7"/>
      <c r="M127" s="9"/>
      <c r="N127" s="6"/>
      <c r="O127" s="9"/>
      <c r="P127" s="9"/>
      <c r="Q127" s="9"/>
      <c r="R127" s="9"/>
      <c r="S127" s="9"/>
      <c r="T127" s="6"/>
      <c r="U127" s="6"/>
      <c r="V127" s="24"/>
      <c r="W127" s="24"/>
      <c r="Y127" s="17">
        <f t="shared" si="3"/>
        <v>0</v>
      </c>
      <c r="Z127" s="21">
        <f t="shared" si="4"/>
        <v>0</v>
      </c>
      <c r="AA127" s="6" t="str">
        <f t="shared" si="5"/>
        <v>N</v>
      </c>
      <c r="AB127" s="17"/>
    </row>
    <row r="128" spans="4:28" ht="22.5" customHeight="1" x14ac:dyDescent="0.25">
      <c r="D128" s="52"/>
      <c r="E128" s="13"/>
      <c r="F128" s="11"/>
      <c r="G128" s="11"/>
      <c r="H128" s="11">
        <v>21</v>
      </c>
      <c r="I128" s="11"/>
      <c r="J128" s="11"/>
      <c r="K128" s="7"/>
      <c r="L128" s="7"/>
      <c r="M128" s="9"/>
      <c r="N128" s="6"/>
      <c r="O128" s="9"/>
      <c r="P128" s="9"/>
      <c r="Q128" s="9"/>
      <c r="R128" s="9"/>
      <c r="S128" s="9"/>
      <c r="T128" s="6"/>
      <c r="U128" s="6"/>
      <c r="V128" s="24"/>
      <c r="W128" s="24"/>
      <c r="Y128" s="17">
        <f t="shared" si="3"/>
        <v>0</v>
      </c>
      <c r="Z128" s="21">
        <f t="shared" si="4"/>
        <v>0</v>
      </c>
      <c r="AA128" s="6" t="str">
        <f t="shared" si="5"/>
        <v>N</v>
      </c>
      <c r="AB128" s="17"/>
    </row>
    <row r="129" spans="4:30" ht="22.5" customHeight="1" x14ac:dyDescent="0.25">
      <c r="D129" s="52"/>
      <c r="E129" s="13"/>
      <c r="F129" s="11"/>
      <c r="G129" s="11"/>
      <c r="H129" s="11"/>
      <c r="I129" s="11">
        <v>21</v>
      </c>
      <c r="J129" s="11"/>
      <c r="K129" s="7"/>
      <c r="L129" s="7"/>
      <c r="M129" s="9"/>
      <c r="N129" s="6"/>
      <c r="O129" s="9"/>
      <c r="P129" s="9"/>
      <c r="Q129" s="9"/>
      <c r="R129" s="9"/>
      <c r="S129" s="9"/>
      <c r="T129" s="6"/>
      <c r="U129" s="6"/>
      <c r="V129" s="24"/>
      <c r="W129" s="24"/>
      <c r="Y129" s="17">
        <f t="shared" si="3"/>
        <v>0</v>
      </c>
      <c r="Z129" s="21">
        <f t="shared" si="4"/>
        <v>0</v>
      </c>
      <c r="AA129" s="6" t="str">
        <f t="shared" si="5"/>
        <v>N</v>
      </c>
      <c r="AB129" s="17"/>
    </row>
    <row r="130" spans="4:30" ht="22.5" customHeight="1" x14ac:dyDescent="0.25">
      <c r="D130" s="52"/>
      <c r="E130" s="13"/>
      <c r="F130" s="11"/>
      <c r="G130" s="11"/>
      <c r="H130" s="11"/>
      <c r="I130" s="11"/>
      <c r="J130" s="11">
        <v>21</v>
      </c>
      <c r="K130" s="7"/>
      <c r="L130" s="7"/>
      <c r="M130" s="9"/>
      <c r="N130" s="6"/>
      <c r="O130" s="9"/>
      <c r="P130" s="9"/>
      <c r="Q130" s="9"/>
      <c r="R130" s="9"/>
      <c r="S130" s="9"/>
      <c r="T130" s="6"/>
      <c r="U130" s="6"/>
      <c r="V130" s="24"/>
      <c r="W130" s="24"/>
      <c r="Y130" s="17">
        <f t="shared" si="3"/>
        <v>0</v>
      </c>
      <c r="Z130" s="21">
        <f t="shared" si="4"/>
        <v>0</v>
      </c>
      <c r="AA130" s="6" t="str">
        <f t="shared" si="5"/>
        <v>N</v>
      </c>
      <c r="AB130" s="17"/>
    </row>
    <row r="131" spans="4:30" ht="22.5" customHeight="1" x14ac:dyDescent="0.25">
      <c r="E131" s="1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4:30" ht="22.5" customHeight="1" x14ac:dyDescent="0.25">
      <c r="E132" s="1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4:30" ht="22.5" customHeight="1" x14ac:dyDescent="0.25">
      <c r="E133" s="1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4:30" ht="22.5" customHeight="1" x14ac:dyDescent="0.25">
      <c r="E134" s="1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4:30" ht="22.5" customHeight="1" x14ac:dyDescent="0.25">
      <c r="E135" s="1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4:30" ht="22.5" customHeight="1" x14ac:dyDescent="0.25">
      <c r="E136" s="1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4:30" ht="22.5" customHeight="1" x14ac:dyDescent="0.25">
      <c r="E137" s="1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4:30" ht="22.5" customHeight="1" x14ac:dyDescent="0.25">
      <c r="E138" s="1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4:30" ht="22.5" customHeight="1" x14ac:dyDescent="0.25">
      <c r="E139" s="1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4:30" ht="22.5" customHeight="1" x14ac:dyDescent="0.25">
      <c r="E140" s="1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4:30" ht="22.5" customHeight="1" x14ac:dyDescent="0.25">
      <c r="E141" s="1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4:30" ht="22.5" customHeight="1" x14ac:dyDescent="0.25">
      <c r="E142" s="1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4:30" ht="22.5" customHeight="1" x14ac:dyDescent="0.25">
      <c r="E143" s="1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4:30" ht="22.5" customHeight="1" x14ac:dyDescent="0.25">
      <c r="E144" s="1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5:30" ht="22.5" customHeight="1" x14ac:dyDescent="0.25">
      <c r="E145" s="1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5:30" ht="22.5" customHeight="1" x14ac:dyDescent="0.25">
      <c r="E146" s="1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5:30" ht="22.5" customHeight="1" x14ac:dyDescent="0.25">
      <c r="E147" s="1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5:30" ht="22.5" customHeight="1" x14ac:dyDescent="0.25">
      <c r="E148" s="1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5:30" ht="22.5" customHeight="1" x14ac:dyDescent="0.25">
      <c r="E149" s="1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5:30" ht="22.5" customHeight="1" x14ac:dyDescent="0.25">
      <c r="E150" s="1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5:30" ht="22.5" customHeight="1" x14ac:dyDescent="0.25">
      <c r="E151" s="1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5:30" ht="22.5" customHeight="1" x14ac:dyDescent="0.25">
      <c r="E152" s="1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5:30" ht="22.5" customHeight="1" x14ac:dyDescent="0.25">
      <c r="E153" s="1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5:30" ht="22.5" customHeight="1" x14ac:dyDescent="0.25">
      <c r="E154" s="1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5:30" ht="22.5" customHeight="1" x14ac:dyDescent="0.25">
      <c r="E155" s="1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5:30" ht="22.5" customHeight="1" x14ac:dyDescent="0.25">
      <c r="E156" s="1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5:30" ht="22.5" customHeight="1" x14ac:dyDescent="0.25">
      <c r="E157" s="1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5:30" ht="22.5" customHeight="1" x14ac:dyDescent="0.25">
      <c r="E158" s="1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5:30" ht="22.5" customHeight="1" x14ac:dyDescent="0.25">
      <c r="E159" s="1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5:30" ht="22.5" customHeight="1" x14ac:dyDescent="0.25">
      <c r="E160" s="1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5:30" ht="22.5" customHeight="1" x14ac:dyDescent="0.25">
      <c r="E161" s="1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5:30" ht="22.5" customHeight="1" x14ac:dyDescent="0.25">
      <c r="E162" s="1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5:30" ht="22.5" customHeight="1" x14ac:dyDescent="0.25">
      <c r="E163" s="1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5:30" ht="22.5" customHeight="1" x14ac:dyDescent="0.25">
      <c r="E164" s="1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5:30" ht="22.5" customHeight="1" x14ac:dyDescent="0.25">
      <c r="E165" s="1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5:30" ht="22.5" customHeight="1" x14ac:dyDescent="0.25">
      <c r="E166" s="1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5:30" ht="22.5" customHeight="1" x14ac:dyDescent="0.25">
      <c r="E167" s="1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5:30" ht="22.5" customHeight="1" x14ac:dyDescent="0.25">
      <c r="E168" s="1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5:30" ht="22.5" customHeight="1" x14ac:dyDescent="0.25">
      <c r="E169" s="1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5:30" ht="22.5" customHeight="1" x14ac:dyDescent="0.25">
      <c r="E170" s="1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5:30" ht="22.5" customHeight="1" x14ac:dyDescent="0.25">
      <c r="E171" s="1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5:30" ht="22.5" customHeight="1" x14ac:dyDescent="0.25">
      <c r="E172" s="1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5:30" ht="22.5" customHeight="1" x14ac:dyDescent="0.25">
      <c r="E173" s="1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5:30" ht="22.5" customHeight="1" x14ac:dyDescent="0.25">
      <c r="E174" s="1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5:30" ht="22.5" customHeight="1" x14ac:dyDescent="0.25">
      <c r="E175" s="1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5:30" ht="22.5" customHeight="1" x14ac:dyDescent="0.25">
      <c r="E176" s="1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5:30" ht="22.5" customHeight="1" x14ac:dyDescent="0.25">
      <c r="E177" s="1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5:30" ht="22.5" customHeight="1" x14ac:dyDescent="0.25">
      <c r="E178" s="1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5:30" ht="22.5" customHeight="1" x14ac:dyDescent="0.25">
      <c r="E179" s="1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5:30" ht="22.5" customHeight="1" x14ac:dyDescent="0.25">
      <c r="E180" s="1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5:30" ht="22.5" customHeight="1" x14ac:dyDescent="0.25">
      <c r="E181" s="1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5:30" ht="22.5" customHeight="1" x14ac:dyDescent="0.25">
      <c r="E182" s="1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5:30" ht="22.5" customHeight="1" x14ac:dyDescent="0.25">
      <c r="E183" s="1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5:30" ht="22.5" customHeight="1" x14ac:dyDescent="0.25">
      <c r="E184" s="1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5:30" ht="22.5" customHeight="1" x14ac:dyDescent="0.25">
      <c r="E185" s="1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5:30" ht="22.5" customHeight="1" x14ac:dyDescent="0.25">
      <c r="E186" s="1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5:30" ht="22.5" customHeight="1" x14ac:dyDescent="0.25">
      <c r="E187" s="1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5:30" ht="22.5" customHeight="1" x14ac:dyDescent="0.25">
      <c r="E188" s="1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5:30" ht="22.5" customHeight="1" x14ac:dyDescent="0.25">
      <c r="E189" s="1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5:30" ht="22.5" customHeight="1" x14ac:dyDescent="0.25">
      <c r="E190" s="1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5:30" ht="22.5" customHeight="1" x14ac:dyDescent="0.25">
      <c r="E191" s="1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5:30" ht="22.5" customHeight="1" x14ac:dyDescent="0.25">
      <c r="E192" s="1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5:30" ht="22.5" customHeight="1" x14ac:dyDescent="0.25">
      <c r="E193" s="1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5:30" ht="22.5" customHeight="1" x14ac:dyDescent="0.25">
      <c r="E194" s="1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5:30" ht="22.5" customHeight="1" x14ac:dyDescent="0.25">
      <c r="E195" s="1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5:30" ht="22.5" customHeight="1" x14ac:dyDescent="0.25">
      <c r="E196" s="1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5:30" ht="22.5" customHeight="1" x14ac:dyDescent="0.25">
      <c r="E197" s="1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5:30" ht="22.5" customHeight="1" x14ac:dyDescent="0.25">
      <c r="E198" s="1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5:30" ht="22.5" customHeight="1" x14ac:dyDescent="0.25">
      <c r="E199" s="1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5:30" ht="22.5" customHeight="1" x14ac:dyDescent="0.25">
      <c r="E200" s="1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5:30" ht="22.5" customHeight="1" x14ac:dyDescent="0.25">
      <c r="E201" s="1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5:30" ht="22.5" customHeight="1" x14ac:dyDescent="0.25">
      <c r="E202" s="1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5:30" ht="22.5" customHeight="1" x14ac:dyDescent="0.25">
      <c r="E203" s="1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5:30" ht="22.5" customHeight="1" x14ac:dyDescent="0.25">
      <c r="E204" s="1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5:30" ht="22.5" customHeight="1" x14ac:dyDescent="0.25">
      <c r="E205" s="1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5:30" ht="22.5" customHeight="1" x14ac:dyDescent="0.25">
      <c r="E206" s="1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5:30" ht="22.5" customHeight="1" x14ac:dyDescent="0.25">
      <c r="E207" s="1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5:30" ht="22.5" customHeight="1" x14ac:dyDescent="0.25">
      <c r="E208" s="1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5:30" ht="22.5" customHeight="1" x14ac:dyDescent="0.25">
      <c r="E209" s="1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5:30" ht="22.5" customHeight="1" x14ac:dyDescent="0.25">
      <c r="E210" s="1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5:30" ht="22.5" customHeight="1" x14ac:dyDescent="0.25">
      <c r="E211" s="1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5:30" ht="22.5" customHeight="1" x14ac:dyDescent="0.25">
      <c r="E212" s="1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5:30" ht="22.5" customHeight="1" x14ac:dyDescent="0.25">
      <c r="E213" s="1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5:30" ht="22.5" customHeight="1" x14ac:dyDescent="0.25">
      <c r="E214" s="1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5:30" ht="22.5" customHeight="1" x14ac:dyDescent="0.25">
      <c r="E215" s="1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5:30" ht="22.5" customHeight="1" x14ac:dyDescent="0.25">
      <c r="E216" s="1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5:30" ht="22.5" customHeight="1" x14ac:dyDescent="0.25">
      <c r="E217" s="1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5:30" ht="22.5" customHeight="1" x14ac:dyDescent="0.25">
      <c r="E218" s="1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5:30" ht="22.5" customHeight="1" x14ac:dyDescent="0.25">
      <c r="E219" s="1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5:30" ht="22.5" customHeight="1" x14ac:dyDescent="0.25">
      <c r="E220" s="1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5:30" ht="22.5" customHeight="1" x14ac:dyDescent="0.25">
      <c r="E221" s="1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5:30" ht="22.5" customHeight="1" x14ac:dyDescent="0.25">
      <c r="E222" s="1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5:30" ht="22.5" customHeight="1" x14ac:dyDescent="0.25">
      <c r="E223" s="1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5:30" ht="22.5" customHeight="1" x14ac:dyDescent="0.25">
      <c r="E224" s="1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5:30" ht="22.5" customHeight="1" x14ac:dyDescent="0.25">
      <c r="E225" s="1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5:30" ht="22.5" customHeight="1" x14ac:dyDescent="0.25">
      <c r="E226" s="1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5:30" ht="22.5" customHeight="1" x14ac:dyDescent="0.25">
      <c r="E227" s="1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5:30" ht="22.5" customHeight="1" x14ac:dyDescent="0.25">
      <c r="E228" s="1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5:30" ht="22.5" customHeight="1" x14ac:dyDescent="0.25">
      <c r="E229" s="1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5:30" ht="22.5" customHeight="1" x14ac:dyDescent="0.25">
      <c r="E230" s="1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5:30" ht="22.5" customHeight="1" x14ac:dyDescent="0.25">
      <c r="E231" s="1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5:30" ht="22.5" customHeight="1" x14ac:dyDescent="0.25">
      <c r="E232" s="1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5:30" ht="22.5" customHeight="1" x14ac:dyDescent="0.25">
      <c r="E233" s="1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5:30" ht="22.5" customHeight="1" x14ac:dyDescent="0.25">
      <c r="E234" s="1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5:30" ht="22.5" customHeight="1" x14ac:dyDescent="0.25">
      <c r="E235" s="1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5:30" ht="22.5" customHeight="1" x14ac:dyDescent="0.25">
      <c r="E236" s="1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5:30" ht="22.5" customHeight="1" x14ac:dyDescent="0.25">
      <c r="E237" s="1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5:30" ht="22.5" customHeight="1" x14ac:dyDescent="0.25">
      <c r="E238" s="1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5:30" ht="22.5" customHeight="1" x14ac:dyDescent="0.25">
      <c r="E239" s="1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5:30" ht="22.5" customHeight="1" x14ac:dyDescent="0.25">
      <c r="E240" s="1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5:30" ht="22.5" customHeight="1" x14ac:dyDescent="0.25">
      <c r="E241" s="1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5:30" ht="22.5" customHeight="1" x14ac:dyDescent="0.25">
      <c r="E242" s="1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5:30" ht="22.5" customHeight="1" x14ac:dyDescent="0.25">
      <c r="E243" s="1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5:30" ht="22.5" customHeight="1" x14ac:dyDescent="0.25">
      <c r="E244" s="1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5:30" ht="22.5" customHeight="1" x14ac:dyDescent="0.25">
      <c r="E245" s="1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5:30" ht="22.5" customHeight="1" x14ac:dyDescent="0.25">
      <c r="E246" s="1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5:30" ht="22.5" customHeight="1" x14ac:dyDescent="0.25">
      <c r="E247" s="1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5:30" ht="22.5" customHeight="1" x14ac:dyDescent="0.25">
      <c r="E248" s="1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5:30" ht="22.5" customHeight="1" x14ac:dyDescent="0.25">
      <c r="E249" s="1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5:30" ht="22.5" customHeight="1" x14ac:dyDescent="0.25">
      <c r="E250" s="1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5:30" ht="22.5" customHeight="1" x14ac:dyDescent="0.25">
      <c r="E251" s="1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5:30" ht="22.5" customHeight="1" x14ac:dyDescent="0.25">
      <c r="E252" s="1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5:30" ht="22.5" customHeight="1" x14ac:dyDescent="0.25">
      <c r="E253" s="1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5:30" ht="22.5" customHeight="1" x14ac:dyDescent="0.25">
      <c r="E254" s="1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5:30" ht="22.5" customHeight="1" x14ac:dyDescent="0.25">
      <c r="E255" s="1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5:30" ht="22.5" customHeight="1" x14ac:dyDescent="0.25">
      <c r="E256" s="1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5:30" ht="22.5" customHeight="1" x14ac:dyDescent="0.25">
      <c r="E257" s="1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5:30" ht="22.5" customHeight="1" x14ac:dyDescent="0.25">
      <c r="E258" s="1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5:30" ht="22.5" customHeight="1" x14ac:dyDescent="0.25">
      <c r="E259" s="1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5:30" ht="22.5" customHeight="1" x14ac:dyDescent="0.25">
      <c r="E260" s="1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5:30" ht="22.5" customHeight="1" x14ac:dyDescent="0.25">
      <c r="E261" s="1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5:30" ht="22.5" customHeight="1" x14ac:dyDescent="0.25">
      <c r="E262" s="1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5:30" ht="22.5" customHeight="1" x14ac:dyDescent="0.25">
      <c r="E263" s="1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5:30" ht="22.5" customHeight="1" x14ac:dyDescent="0.25">
      <c r="E264" s="1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5:30" ht="22.5" customHeight="1" x14ac:dyDescent="0.25">
      <c r="E265" s="1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5:30" ht="22.5" customHeight="1" x14ac:dyDescent="0.25">
      <c r="E266" s="1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5:30" ht="22.5" customHeight="1" x14ac:dyDescent="0.25">
      <c r="E267" s="1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5:30" ht="22.5" customHeight="1" x14ac:dyDescent="0.25">
      <c r="E268" s="1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5:30" ht="22.5" customHeight="1" x14ac:dyDescent="0.25">
      <c r="E269" s="1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5:30" ht="22.5" customHeight="1" x14ac:dyDescent="0.25">
      <c r="E270" s="1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5:30" ht="22.5" customHeight="1" x14ac:dyDescent="0.25">
      <c r="E271" s="1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5:30" ht="22.5" customHeight="1" x14ac:dyDescent="0.25">
      <c r="E272" s="1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5:30" ht="22.5" customHeight="1" x14ac:dyDescent="0.25">
      <c r="E273" s="1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5:30" ht="22.5" customHeight="1" x14ac:dyDescent="0.25">
      <c r="E274" s="1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5:30" ht="22.5" customHeight="1" x14ac:dyDescent="0.25">
      <c r="E275" s="1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5:30" ht="22.5" customHeight="1" x14ac:dyDescent="0.25">
      <c r="E276" s="1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5:30" ht="22.5" customHeight="1" x14ac:dyDescent="0.25">
      <c r="E277" s="1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5:30" ht="22.5" customHeight="1" x14ac:dyDescent="0.25">
      <c r="E278" s="1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5:30" ht="22.5" customHeight="1" x14ac:dyDescent="0.25">
      <c r="E279" s="1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5:30" ht="22.5" customHeight="1" x14ac:dyDescent="0.25">
      <c r="E280" s="1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5:30" ht="22.5" customHeight="1" x14ac:dyDescent="0.25">
      <c r="E281" s="1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5:30" ht="22.5" customHeight="1" x14ac:dyDescent="0.25">
      <c r="E282" s="1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5:30" ht="22.5" customHeight="1" x14ac:dyDescent="0.25">
      <c r="E283" s="1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5:30" ht="22.5" customHeight="1" x14ac:dyDescent="0.25">
      <c r="E284" s="1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5:30" ht="22.5" customHeight="1" x14ac:dyDescent="0.25">
      <c r="E285" s="1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5:30" ht="22.5" customHeight="1" x14ac:dyDescent="0.25">
      <c r="E286" s="1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5:30" ht="22.5" customHeight="1" x14ac:dyDescent="0.25">
      <c r="E287" s="1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5:30" ht="22.5" customHeight="1" x14ac:dyDescent="0.25">
      <c r="E288" s="1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5:30" ht="22.5" customHeight="1" x14ac:dyDescent="0.25">
      <c r="E289" s="1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5:30" ht="22.5" customHeight="1" x14ac:dyDescent="0.25">
      <c r="E290" s="1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5:30" ht="22.5" customHeight="1" x14ac:dyDescent="0.25">
      <c r="E291" s="1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5:30" ht="22.5" customHeight="1" x14ac:dyDescent="0.25">
      <c r="E292" s="1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5:30" ht="22.5" customHeight="1" x14ac:dyDescent="0.25">
      <c r="E293" s="1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5:30" ht="22.5" customHeight="1" x14ac:dyDescent="0.25">
      <c r="E294" s="1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5:30" ht="22.5" customHeight="1" x14ac:dyDescent="0.25">
      <c r="E295" s="1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5:30" ht="22.5" customHeight="1" x14ac:dyDescent="0.25">
      <c r="E296" s="1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5:30" ht="22.5" customHeight="1" x14ac:dyDescent="0.25">
      <c r="E297" s="1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5:30" ht="22.5" customHeight="1" x14ac:dyDescent="0.25">
      <c r="E298" s="1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5:30" ht="22.5" customHeight="1" x14ac:dyDescent="0.25">
      <c r="E299" s="1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5:30" ht="22.5" customHeight="1" x14ac:dyDescent="0.25">
      <c r="E300" s="1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5:30" ht="22.5" customHeight="1" x14ac:dyDescent="0.25">
      <c r="E301" s="1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5:30" ht="22.5" customHeight="1" x14ac:dyDescent="0.25">
      <c r="E302" s="1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5:30" ht="22.5" customHeight="1" x14ac:dyDescent="0.25">
      <c r="E303" s="1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5:30" ht="22.5" customHeight="1" x14ac:dyDescent="0.25">
      <c r="E304" s="1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5:30" ht="22.5" customHeight="1" x14ac:dyDescent="0.25">
      <c r="E305" s="1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5:30" ht="22.5" customHeight="1" x14ac:dyDescent="0.25">
      <c r="E306" s="1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5:30" ht="22.5" customHeight="1" x14ac:dyDescent="0.25">
      <c r="E307" s="1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5:30" ht="22.5" customHeight="1" x14ac:dyDescent="0.25">
      <c r="E308" s="1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5:30" ht="22.5" customHeight="1" x14ac:dyDescent="0.25">
      <c r="E309" s="1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5:30" ht="22.5" customHeight="1" x14ac:dyDescent="0.25">
      <c r="E310" s="1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5:30" ht="22.5" customHeight="1" x14ac:dyDescent="0.25">
      <c r="E311" s="1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5:30" ht="22.5" customHeight="1" x14ac:dyDescent="0.25">
      <c r="E312" s="1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5:30" ht="22.5" customHeight="1" x14ac:dyDescent="0.25">
      <c r="E313" s="1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5:30" ht="22.5" customHeight="1" x14ac:dyDescent="0.25">
      <c r="E314" s="1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5:30" ht="22.5" customHeight="1" x14ac:dyDescent="0.25">
      <c r="E315" s="1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5:30" ht="22.5" customHeight="1" x14ac:dyDescent="0.25">
      <c r="E316" s="1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5:30" ht="22.5" customHeight="1" x14ac:dyDescent="0.25">
      <c r="E317" s="1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5:30" ht="22.5" customHeight="1" x14ac:dyDescent="0.25">
      <c r="E318" s="1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5:30" ht="22.5" customHeight="1" x14ac:dyDescent="0.25">
      <c r="E319" s="1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5:30" ht="22.5" customHeight="1" x14ac:dyDescent="0.25">
      <c r="E320" s="1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5:30" ht="22.5" customHeight="1" x14ac:dyDescent="0.25">
      <c r="E321" s="1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5:30" ht="22.5" customHeight="1" x14ac:dyDescent="0.25">
      <c r="E322" s="1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5:30" ht="22.5" customHeight="1" x14ac:dyDescent="0.25">
      <c r="E323" s="1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5:30" ht="22.5" customHeight="1" x14ac:dyDescent="0.25">
      <c r="E324" s="1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5:30" ht="22.5" customHeight="1" x14ac:dyDescent="0.25">
      <c r="E325" s="1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5:30" ht="22.5" customHeight="1" x14ac:dyDescent="0.25">
      <c r="E326" s="1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5:30" ht="22.5" customHeight="1" x14ac:dyDescent="0.25">
      <c r="E327" s="1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5:30" ht="22.5" customHeight="1" x14ac:dyDescent="0.25">
      <c r="E328" s="1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5:30" ht="22.5" customHeight="1" x14ac:dyDescent="0.25">
      <c r="E329" s="1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5:30" ht="22.5" customHeight="1" x14ac:dyDescent="0.25">
      <c r="E330" s="1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5:30" ht="22.5" customHeight="1" x14ac:dyDescent="0.25">
      <c r="E331" s="1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5:30" ht="22.5" customHeight="1" x14ac:dyDescent="0.25">
      <c r="E332" s="1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5:30" ht="22.5" customHeight="1" x14ac:dyDescent="0.25">
      <c r="E333" s="1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5:30" ht="22.5" customHeight="1" x14ac:dyDescent="0.25">
      <c r="E334" s="1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5:30" ht="22.5" customHeight="1" x14ac:dyDescent="0.25">
      <c r="E335" s="1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5:30" ht="22.5" customHeight="1" x14ac:dyDescent="0.25">
      <c r="E336" s="1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5:30" ht="22.5" customHeight="1" x14ac:dyDescent="0.25">
      <c r="E337" s="1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5:30" ht="22.5" customHeight="1" x14ac:dyDescent="0.25">
      <c r="E338" s="1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5:30" ht="22.5" customHeight="1" x14ac:dyDescent="0.25">
      <c r="E339" s="1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5:30" ht="22.5" customHeight="1" x14ac:dyDescent="0.25">
      <c r="E340" s="1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5:30" ht="22.5" customHeight="1" x14ac:dyDescent="0.25">
      <c r="E341" s="1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5:30" ht="22.5" customHeight="1" x14ac:dyDescent="0.25">
      <c r="E342" s="1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5:30" ht="22.5" customHeight="1" x14ac:dyDescent="0.25">
      <c r="E343" s="1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5:30" ht="22.5" customHeight="1" x14ac:dyDescent="0.25">
      <c r="E344" s="1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5:30" x14ac:dyDescent="0.25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5:30" x14ac:dyDescent="0.25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5:30" x14ac:dyDescent="0.25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5:30" x14ac:dyDescent="0.25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5:30" x14ac:dyDescent="0.25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5:30" x14ac:dyDescent="0.25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5:30" x14ac:dyDescent="0.25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5:30" x14ac:dyDescent="0.25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6:30" x14ac:dyDescent="0.25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6:30" x14ac:dyDescent="0.25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6:30" x14ac:dyDescent="0.25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6:30" x14ac:dyDescent="0.25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6:30" x14ac:dyDescent="0.25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6:30" x14ac:dyDescent="0.25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6:30" x14ac:dyDescent="0.25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6:30" x14ac:dyDescent="0.25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6:30" x14ac:dyDescent="0.25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6:30" x14ac:dyDescent="0.25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6:30" x14ac:dyDescent="0.25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6:30" x14ac:dyDescent="0.25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6:30" x14ac:dyDescent="0.25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6:30" x14ac:dyDescent="0.25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6:30" x14ac:dyDescent="0.25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6:30" x14ac:dyDescent="0.25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6:30" x14ac:dyDescent="0.25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6:30" x14ac:dyDescent="0.25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6:30" x14ac:dyDescent="0.25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6:30" x14ac:dyDescent="0.25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6:30" x14ac:dyDescent="0.25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6:30" x14ac:dyDescent="0.25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6:30" x14ac:dyDescent="0.25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6:30" x14ac:dyDescent="0.25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6:30" x14ac:dyDescent="0.25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6:30" x14ac:dyDescent="0.25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6:30" x14ac:dyDescent="0.25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6:30" x14ac:dyDescent="0.25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6:30" x14ac:dyDescent="0.25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6:30" x14ac:dyDescent="0.25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6:30" x14ac:dyDescent="0.25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6:30" x14ac:dyDescent="0.25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6:30" x14ac:dyDescent="0.25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6:30" x14ac:dyDescent="0.25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6:30" x14ac:dyDescent="0.25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6:30" x14ac:dyDescent="0.25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6:30" x14ac:dyDescent="0.25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6:30" x14ac:dyDescent="0.25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6:30" x14ac:dyDescent="0.25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6:30" x14ac:dyDescent="0.25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6:30" x14ac:dyDescent="0.25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6:30" x14ac:dyDescent="0.25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6:30" x14ac:dyDescent="0.25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6:30" x14ac:dyDescent="0.25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6:30" x14ac:dyDescent="0.25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6:30" x14ac:dyDescent="0.25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6:30" x14ac:dyDescent="0.25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6:30" x14ac:dyDescent="0.25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6:30" x14ac:dyDescent="0.25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6:30" x14ac:dyDescent="0.25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6:30" x14ac:dyDescent="0.25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6:30" x14ac:dyDescent="0.25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6:30" x14ac:dyDescent="0.25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6:30" x14ac:dyDescent="0.25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6:30" x14ac:dyDescent="0.25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6:30" x14ac:dyDescent="0.25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6:30" x14ac:dyDescent="0.25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6:30" x14ac:dyDescent="0.25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6:30" x14ac:dyDescent="0.25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6:30" x14ac:dyDescent="0.25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6:30" x14ac:dyDescent="0.25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6:30" x14ac:dyDescent="0.25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6:30" x14ac:dyDescent="0.25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6:30" x14ac:dyDescent="0.25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6:30" x14ac:dyDescent="0.25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6:30" x14ac:dyDescent="0.25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6:30" x14ac:dyDescent="0.25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6:30" x14ac:dyDescent="0.25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6:30" x14ac:dyDescent="0.25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6:30" x14ac:dyDescent="0.25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6:30" x14ac:dyDescent="0.25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6:30" x14ac:dyDescent="0.25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6:30" x14ac:dyDescent="0.25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6:30" x14ac:dyDescent="0.25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6:30" x14ac:dyDescent="0.25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6:30" x14ac:dyDescent="0.25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</sheetData>
  <sortState ref="N5:U114">
    <sortCondition ref="U5:U114"/>
  </sortState>
  <mergeCells count="23">
    <mergeCell ref="D53:D58"/>
    <mergeCell ref="D59:D64"/>
    <mergeCell ref="D65:D70"/>
    <mergeCell ref="D71:D76"/>
    <mergeCell ref="E4:J4"/>
    <mergeCell ref="D5:D10"/>
    <mergeCell ref="D11:D16"/>
    <mergeCell ref="D17:D22"/>
    <mergeCell ref="D47:D52"/>
    <mergeCell ref="D3:U3"/>
    <mergeCell ref="D23:D28"/>
    <mergeCell ref="D29:D34"/>
    <mergeCell ref="D35:D40"/>
    <mergeCell ref="D41:D46"/>
    <mergeCell ref="D107:D112"/>
    <mergeCell ref="D113:D118"/>
    <mergeCell ref="D119:D124"/>
    <mergeCell ref="D125:D130"/>
    <mergeCell ref="D77:D82"/>
    <mergeCell ref="D83:D88"/>
    <mergeCell ref="D89:D94"/>
    <mergeCell ref="D95:D100"/>
    <mergeCell ref="D101:D106"/>
  </mergeCells>
  <conditionalFormatting sqref="AA429:AA1048576 AA2:AA3 AA5:AA130">
    <cfRule type="containsText" dxfId="76" priority="40" operator="containsText" text="BELUM TERSEDIA">
      <formula>NOT(ISERROR(SEARCH("BELUM TERSEDIA",AA2)))</formula>
    </cfRule>
    <cfRule type="containsText" dxfId="75" priority="41" operator="containsText" text="SUDAH ADA">
      <formula>NOT(ISERROR(SEARCH("SUDAH ADA",AA2)))</formula>
    </cfRule>
  </conditionalFormatting>
  <conditionalFormatting sqref="E2:L2 E429:L1048576 F131 E345:E428 F5:L130 E1:AB1">
    <cfRule type="containsText" dxfId="74" priority="38" operator="containsText" text="BELUM TERSEDIA">
      <formula>NOT(ISERROR(SEARCH("BELUM TERSEDIA",E1)))</formula>
    </cfRule>
    <cfRule type="containsText" dxfId="73" priority="39" operator="containsText" text="SUDAH ADA">
      <formula>NOT(ISERROR(SEARCH("SUDAH ADA",E1)))</formula>
    </cfRule>
  </conditionalFormatting>
  <conditionalFormatting sqref="C1:C1048576">
    <cfRule type="containsText" dxfId="72" priority="32" operator="containsText" text="PRAKARYA">
      <formula>NOT(ISERROR(SEARCH("PRAKARYA",C1)))</formula>
    </cfRule>
    <cfRule type="containsText" dxfId="71" priority="33" operator="containsText" text="MATEMATIKA">
      <formula>NOT(ISERROR(SEARCH("MATEMATIKA",C1)))</formula>
    </cfRule>
    <cfRule type="containsText" dxfId="70" priority="34" operator="containsText" text="B.INGGRIS">
      <formula>NOT(ISERROR(SEARCH("B.INGGRIS",C1)))</formula>
    </cfRule>
    <cfRule type="containsText" dxfId="69" priority="35" operator="containsText" text="PJOK">
      <formula>NOT(ISERROR(SEARCH("PJOK",C1)))</formula>
    </cfRule>
    <cfRule type="containsText" dxfId="68" priority="36" operator="containsText" text="IPA">
      <formula>NOT(ISERROR(SEARCH("IPA",C1)))</formula>
    </cfRule>
    <cfRule type="containsText" dxfId="67" priority="37" operator="containsText" text="IPA,PJOK,B.INGGRIS,MATEMATIKA,PRAKARYA">
      <formula>NOT(ISERROR(SEARCH("IPA,PJOK,B.INGGRIS,MATEMATIKA,PRAKARYA",C1)))</formula>
    </cfRule>
  </conditionalFormatting>
  <conditionalFormatting sqref="P2 P65:P66 P71:P72 P77:P78 P83:P84 P89:P90 P95:P96 P101:P102 P106:P108 P110:P130 P429:P1048576 P59:P60 P4:P54">
    <cfRule type="containsText" dxfId="66" priority="13" operator="containsText" text="I-II">
      <formula>NOT(ISERROR(SEARCH("I-II",P2)))</formula>
    </cfRule>
  </conditionalFormatting>
  <conditionalFormatting sqref="P55:P56">
    <cfRule type="containsText" dxfId="65" priority="12" operator="containsText" text="I-II">
      <formula>NOT(ISERROR(SEARCH("I-II",P55)))</formula>
    </cfRule>
  </conditionalFormatting>
  <conditionalFormatting sqref="P57:P58">
    <cfRule type="containsText" dxfId="64" priority="11" operator="containsText" text="I-II">
      <formula>NOT(ISERROR(SEARCH("I-II",P57)))</formula>
    </cfRule>
  </conditionalFormatting>
  <conditionalFormatting sqref="P61:P62">
    <cfRule type="containsText" dxfId="63" priority="10" operator="containsText" text="I-II">
      <formula>NOT(ISERROR(SEARCH("I-II",P61)))</formula>
    </cfRule>
  </conditionalFormatting>
  <conditionalFormatting sqref="P63:P64">
    <cfRule type="containsText" dxfId="62" priority="9" operator="containsText" text="I-II">
      <formula>NOT(ISERROR(SEARCH("I-II",P63)))</formula>
    </cfRule>
  </conditionalFormatting>
  <conditionalFormatting sqref="P67:P68">
    <cfRule type="containsText" dxfId="61" priority="8" operator="containsText" text="I-II">
      <formula>NOT(ISERROR(SEARCH("I-II",P67)))</formula>
    </cfRule>
  </conditionalFormatting>
  <conditionalFormatting sqref="P69:P70">
    <cfRule type="containsText" dxfId="60" priority="7" operator="containsText" text="I-II">
      <formula>NOT(ISERROR(SEARCH("I-II",P69)))</formula>
    </cfRule>
  </conditionalFormatting>
  <conditionalFormatting sqref="Q2:Q1048576">
    <cfRule type="duplicateValues" dxfId="59" priority="6"/>
  </conditionalFormatting>
  <conditionalFormatting sqref="AA1:AA3 AA5:AA1048576">
    <cfRule type="containsText" dxfId="58" priority="4" operator="containsText" text="N">
      <formula>NOT(ISERROR(SEARCH("N",AA1)))</formula>
    </cfRule>
    <cfRule type="containsText" dxfId="57" priority="5" operator="containsText" text="Y">
      <formula>NOT(ISERROR(SEARCH("Y",AA1)))</formula>
    </cfRule>
  </conditionalFormatting>
  <conditionalFormatting sqref="K1:K1048576">
    <cfRule type="containsText" dxfId="56" priority="1" operator="containsText" text="Y">
      <formula>NOT(ISERROR(SEARCH("Y",K1)))</formula>
    </cfRule>
    <cfRule type="containsText" dxfId="55" priority="2" operator="containsText" text="N">
      <formula>NOT(ISERROR(SEARCH("N",K1)))</formula>
    </cfRule>
    <cfRule type="containsText" dxfId="54" priority="3" operator="containsText" text="Y">
      <formula>NOT(ISERROR(SEARCH("Y",K1)))</formula>
    </cfRule>
  </conditionalFormatting>
  <pageMargins left="0.7" right="0.7" top="0.75" bottom="0.75" header="0.3" footer="0.3"/>
  <pageSetup paperSize="5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T58"/>
  <sheetViews>
    <sheetView workbookViewId="0">
      <selection activeCell="C8" sqref="C8"/>
    </sheetView>
  </sheetViews>
  <sheetFormatPr defaultRowHeight="20.100000000000001" customHeight="1" x14ac:dyDescent="0.25"/>
  <cols>
    <col min="1" max="1" width="2.7109375" customWidth="1"/>
    <col min="2" max="2" width="2.42578125" customWidth="1"/>
    <col min="3" max="3" width="6.5703125" style="1" customWidth="1"/>
    <col min="4" max="4" width="28" customWidth="1"/>
    <col min="5" max="5" width="26.7109375" customWidth="1"/>
    <col min="6" max="6" width="16" style="1" customWidth="1"/>
    <col min="7" max="7" width="3.140625" style="30" customWidth="1"/>
    <col min="9" max="9" width="20" customWidth="1"/>
    <col min="10" max="10" width="29.140625" customWidth="1"/>
    <col min="11" max="11" width="16.42578125" customWidth="1"/>
    <col min="12" max="12" width="4.85546875" style="30" customWidth="1"/>
    <col min="13" max="13" width="6.5703125" customWidth="1"/>
    <col min="14" max="14" width="33.42578125" customWidth="1"/>
    <col min="15" max="15" width="30.140625" customWidth="1"/>
    <col min="16" max="16" width="14.42578125" customWidth="1"/>
  </cols>
  <sheetData>
    <row r="4" spans="3:20" ht="71.25" customHeight="1" x14ac:dyDescent="0.25">
      <c r="C4" s="57" t="s">
        <v>62</v>
      </c>
      <c r="D4" s="58"/>
      <c r="E4" s="58"/>
      <c r="F4" s="59"/>
      <c r="G4" s="32"/>
      <c r="H4" s="57" t="s">
        <v>67</v>
      </c>
      <c r="I4" s="58"/>
      <c r="J4" s="58"/>
      <c r="K4" s="59"/>
      <c r="L4" s="32"/>
      <c r="M4" s="57" t="s">
        <v>68</v>
      </c>
      <c r="N4" s="58"/>
      <c r="O4" s="58"/>
      <c r="P4" s="59"/>
      <c r="Q4" s="1"/>
    </row>
    <row r="5" spans="3:20" ht="20.100000000000001" customHeight="1" x14ac:dyDescent="0.25">
      <c r="C5" s="60" t="s">
        <v>64</v>
      </c>
      <c r="D5" s="60"/>
      <c r="E5" s="60"/>
      <c r="F5" s="60"/>
      <c r="G5" s="32"/>
      <c r="H5" s="60" t="s">
        <v>64</v>
      </c>
      <c r="I5" s="60"/>
      <c r="J5" s="60"/>
      <c r="K5" s="60"/>
      <c r="L5" s="32"/>
      <c r="M5" s="60" t="s">
        <v>64</v>
      </c>
      <c r="N5" s="60"/>
      <c r="O5" s="60"/>
      <c r="P5" s="60"/>
      <c r="Q5" s="1"/>
    </row>
    <row r="6" spans="3:20" ht="20.100000000000001" customHeight="1" x14ac:dyDescent="0.25">
      <c r="C6" s="19" t="s">
        <v>1</v>
      </c>
      <c r="D6" s="5" t="s">
        <v>4</v>
      </c>
      <c r="E6" s="19" t="s">
        <v>3</v>
      </c>
      <c r="F6" s="20" t="s">
        <v>63</v>
      </c>
      <c r="G6" s="33"/>
      <c r="H6" s="19" t="s">
        <v>1</v>
      </c>
      <c r="I6" s="5" t="s">
        <v>4</v>
      </c>
      <c r="J6" s="19" t="s">
        <v>3</v>
      </c>
      <c r="K6" s="20" t="s">
        <v>63</v>
      </c>
      <c r="L6" s="37"/>
      <c r="M6" s="19" t="s">
        <v>1</v>
      </c>
      <c r="N6" s="5" t="s">
        <v>4</v>
      </c>
      <c r="O6" s="19" t="s">
        <v>3</v>
      </c>
      <c r="P6" s="20" t="s">
        <v>63</v>
      </c>
      <c r="Q6" s="14"/>
      <c r="R6" s="26"/>
      <c r="S6" s="26"/>
      <c r="T6" s="26"/>
    </row>
    <row r="7" spans="3:20" ht="20.100000000000001" customHeight="1" x14ac:dyDescent="0.25">
      <c r="C7" s="20">
        <v>1</v>
      </c>
      <c r="D7" s="11" t="str">
        <f t="shared" ref="D7:D25" si="0">VLOOKUP(C7,KELAS7SEMESTER1,10)</f>
        <v>AKIDAH AHLAK</v>
      </c>
      <c r="E7" s="31" t="str">
        <f t="shared" ref="E7:E25" si="1">VLOOKUP(C7,KELAS7SEMESTER1,17)</f>
        <v>AGUS SAEBATULHAMDI</v>
      </c>
      <c r="F7" s="11" t="str">
        <f t="shared" ref="F7:F25" si="2">VLOOKUP(C7,KELAS7SEMESTER1,7)</f>
        <v>N</v>
      </c>
      <c r="G7" s="34"/>
      <c r="H7" s="20">
        <v>1</v>
      </c>
      <c r="I7" s="11" t="str">
        <f t="shared" ref="I7:I25" si="3">VLOOKUP(H7,KELAS8SEMESTER1,8)</f>
        <v>AKIDAH AHLAK</v>
      </c>
      <c r="J7" s="31" t="str">
        <f t="shared" ref="J7:J25" si="4">VLOOKUP(H7,KELAS8SEMESTER1,15)</f>
        <v>AGUS SAEBATULHAMDI</v>
      </c>
      <c r="K7" s="11" t="str">
        <f t="shared" ref="K7:K25" si="5">VLOOKUP(H7,KELAS8SEMESTER1,5)</f>
        <v>N</v>
      </c>
      <c r="L7" s="38"/>
      <c r="M7" s="20">
        <v>1</v>
      </c>
      <c r="N7" s="11" t="str">
        <f t="shared" ref="N7:N25" si="6">VLOOKUP(M7,KELAS9SEMESTER1,6)</f>
        <v>AKIDAH AHLAK</v>
      </c>
      <c r="O7" s="31" t="str">
        <f t="shared" ref="O7:O25" si="7">VLOOKUP(M7,KELAS9SEMESTER1,13)</f>
        <v>AGUS SAEBATULHAMDI</v>
      </c>
      <c r="P7" s="11">
        <f t="shared" ref="P7:P25" si="8">VLOOKUP(M7,KELAS9SEMESTER1,3)</f>
        <v>0</v>
      </c>
      <c r="Q7" s="14"/>
      <c r="R7" s="26"/>
      <c r="S7" s="26"/>
      <c r="T7" s="26"/>
    </row>
    <row r="8" spans="3:20" ht="20.100000000000001" customHeight="1" x14ac:dyDescent="0.25">
      <c r="C8" s="20">
        <v>2</v>
      </c>
      <c r="D8" s="11" t="str">
        <f t="shared" si="0"/>
        <v>TIK</v>
      </c>
      <c r="E8" s="31" t="str">
        <f t="shared" si="1"/>
        <v>ANDRI RIFQI HIDAYAT</v>
      </c>
      <c r="F8" s="11" t="str">
        <f t="shared" si="2"/>
        <v>N</v>
      </c>
      <c r="G8" s="34"/>
      <c r="H8" s="20">
        <v>2</v>
      </c>
      <c r="I8" s="11" t="str">
        <f t="shared" si="3"/>
        <v>TIK</v>
      </c>
      <c r="J8" s="31" t="str">
        <f t="shared" si="4"/>
        <v>ANDRI RIFQI HIDAYAT</v>
      </c>
      <c r="K8" s="11" t="str">
        <f t="shared" si="5"/>
        <v>N</v>
      </c>
      <c r="L8" s="38"/>
      <c r="M8" s="20">
        <v>2</v>
      </c>
      <c r="N8" s="11" t="str">
        <f t="shared" si="6"/>
        <v>TIK</v>
      </c>
      <c r="O8" s="31" t="str">
        <f t="shared" si="7"/>
        <v>ANDRI RIFQI HIDAYAT</v>
      </c>
      <c r="P8" s="11">
        <f t="shared" si="8"/>
        <v>0</v>
      </c>
      <c r="Q8" s="14"/>
      <c r="R8" s="26"/>
      <c r="S8" s="26"/>
      <c r="T8" s="26"/>
    </row>
    <row r="9" spans="3:20" ht="20.100000000000001" customHeight="1" x14ac:dyDescent="0.25">
      <c r="C9" s="20">
        <v>3</v>
      </c>
      <c r="D9" s="11" t="str">
        <f t="shared" si="0"/>
        <v>KITAB KUNING</v>
      </c>
      <c r="E9" s="31" t="str">
        <f t="shared" si="1"/>
        <v>DEDE HASAN MUHAEMIN</v>
      </c>
      <c r="F9" s="11" t="str">
        <f t="shared" si="2"/>
        <v>N</v>
      </c>
      <c r="G9" s="34"/>
      <c r="H9" s="20">
        <v>3</v>
      </c>
      <c r="I9" s="11" t="str">
        <f t="shared" si="3"/>
        <v>KITAB KUNING</v>
      </c>
      <c r="J9" s="31" t="str">
        <f t="shared" si="4"/>
        <v>DEDE HASAN MUHAEMIN</v>
      </c>
      <c r="K9" s="11" t="str">
        <f t="shared" si="5"/>
        <v>N</v>
      </c>
      <c r="L9" s="38"/>
      <c r="M9" s="20">
        <v>3</v>
      </c>
      <c r="N9" s="11" t="str">
        <f t="shared" si="6"/>
        <v>KITAB KUNING</v>
      </c>
      <c r="O9" s="31" t="str">
        <f t="shared" si="7"/>
        <v>DEDE HASAN MUHAEMIN</v>
      </c>
      <c r="P9" s="11">
        <f t="shared" si="8"/>
        <v>0</v>
      </c>
      <c r="Q9" s="14"/>
      <c r="R9" s="26"/>
      <c r="S9" s="26"/>
      <c r="T9" s="26"/>
    </row>
    <row r="10" spans="3:20" ht="20.100000000000001" customHeight="1" x14ac:dyDescent="0.25">
      <c r="C10" s="20">
        <v>4</v>
      </c>
      <c r="D10" s="11" t="str">
        <f t="shared" si="0"/>
        <v>ILMU PENGETAHUAN SOSIAL</v>
      </c>
      <c r="E10" s="31" t="str">
        <f t="shared" si="1"/>
        <v>DEVI SUGIYANTI, S.Pd</v>
      </c>
      <c r="F10" s="11" t="str">
        <f t="shared" si="2"/>
        <v>N</v>
      </c>
      <c r="G10" s="34"/>
      <c r="H10" s="20">
        <v>4</v>
      </c>
      <c r="I10" s="11" t="str">
        <f t="shared" si="3"/>
        <v>ILMU PENGETAHUAN SOSIAL</v>
      </c>
      <c r="J10" s="31" t="str">
        <f t="shared" si="4"/>
        <v>DEVI SUGIYANTI, S.Pd</v>
      </c>
      <c r="K10" s="11" t="str">
        <f t="shared" si="5"/>
        <v>Y</v>
      </c>
      <c r="L10" s="38"/>
      <c r="M10" s="20">
        <v>4</v>
      </c>
      <c r="N10" s="11" t="str">
        <f t="shared" si="6"/>
        <v>ILMU PENGETAHUAN SOSIAL</v>
      </c>
      <c r="O10" s="31" t="str">
        <f t="shared" si="7"/>
        <v>DEVI SUGIYANTI, S.Pd</v>
      </c>
      <c r="P10" s="11">
        <f t="shared" si="8"/>
        <v>0</v>
      </c>
      <c r="Q10" s="14"/>
      <c r="R10" s="26"/>
      <c r="S10" s="26"/>
      <c r="T10" s="26"/>
    </row>
    <row r="11" spans="3:20" ht="20.100000000000001" customHeight="1" x14ac:dyDescent="0.25">
      <c r="C11" s="20">
        <v>5</v>
      </c>
      <c r="D11" s="11" t="str">
        <f t="shared" si="0"/>
        <v>FIQIH</v>
      </c>
      <c r="E11" s="31" t="str">
        <f t="shared" si="1"/>
        <v>Drs.H.U BADRUSALAM, S.Ag M.M</v>
      </c>
      <c r="F11" s="11" t="str">
        <f t="shared" si="2"/>
        <v>N</v>
      </c>
      <c r="G11" s="34"/>
      <c r="H11" s="20">
        <v>5</v>
      </c>
      <c r="I11" s="11" t="str">
        <f t="shared" si="3"/>
        <v>FIQIH</v>
      </c>
      <c r="J11" s="31" t="str">
        <f t="shared" si="4"/>
        <v>Drs.H.U BADRUSALAM, S.Ag M.M</v>
      </c>
      <c r="K11" s="11" t="str">
        <f t="shared" si="5"/>
        <v>N</v>
      </c>
      <c r="L11" s="38"/>
      <c r="M11" s="20">
        <v>5</v>
      </c>
      <c r="N11" s="11" t="str">
        <f t="shared" si="6"/>
        <v>FIQIH</v>
      </c>
      <c r="O11" s="31" t="str">
        <f t="shared" si="7"/>
        <v>Drs.H.U BADRUSALAM, S.Ag M.M</v>
      </c>
      <c r="P11" s="11">
        <f t="shared" si="8"/>
        <v>0</v>
      </c>
      <c r="Q11" s="14"/>
      <c r="R11" s="26"/>
      <c r="S11" s="26"/>
      <c r="T11" s="26"/>
    </row>
    <row r="12" spans="3:20" ht="20.100000000000001" customHeight="1" x14ac:dyDescent="0.25">
      <c r="C12" s="20">
        <v>6</v>
      </c>
      <c r="D12" s="11" t="str">
        <f t="shared" si="0"/>
        <v>B. ARAB</v>
      </c>
      <c r="E12" s="31" t="str">
        <f t="shared" si="1"/>
        <v>FIKI RAHMATIKA</v>
      </c>
      <c r="F12" s="11" t="str">
        <f t="shared" si="2"/>
        <v>N</v>
      </c>
      <c r="G12" s="34"/>
      <c r="H12" s="20">
        <v>6</v>
      </c>
      <c r="I12" s="11" t="str">
        <f t="shared" si="3"/>
        <v>B. ARAB</v>
      </c>
      <c r="J12" s="31" t="str">
        <f t="shared" si="4"/>
        <v>FIKI RAHMATIKA</v>
      </c>
      <c r="K12" s="11" t="str">
        <f t="shared" si="5"/>
        <v>N</v>
      </c>
      <c r="L12" s="38"/>
      <c r="M12" s="20">
        <v>6</v>
      </c>
      <c r="N12" s="11" t="str">
        <f t="shared" si="6"/>
        <v>B. ARAB</v>
      </c>
      <c r="O12" s="31" t="str">
        <f t="shared" si="7"/>
        <v>FIKI RAHMATIKA</v>
      </c>
      <c r="P12" s="11">
        <f t="shared" si="8"/>
        <v>0</v>
      </c>
      <c r="Q12" s="14"/>
      <c r="R12" s="26"/>
      <c r="S12" s="26"/>
      <c r="T12" s="26"/>
    </row>
    <row r="13" spans="3:20" ht="20.100000000000001" customHeight="1" x14ac:dyDescent="0.25">
      <c r="C13" s="20">
        <v>7</v>
      </c>
      <c r="D13" s="11" t="str">
        <f t="shared" si="0"/>
        <v>PERCAKAPAN</v>
      </c>
      <c r="E13" s="31" t="str">
        <f t="shared" si="1"/>
        <v>M RANGGA ABDURRASYID</v>
      </c>
      <c r="F13" s="11" t="str">
        <f t="shared" si="2"/>
        <v>N</v>
      </c>
      <c r="G13" s="34"/>
      <c r="H13" s="20">
        <v>7</v>
      </c>
      <c r="I13" s="11" t="str">
        <f t="shared" si="3"/>
        <v>PERCAKAPAN</v>
      </c>
      <c r="J13" s="31" t="str">
        <f t="shared" si="4"/>
        <v>M RANGGA ABDURRASYID</v>
      </c>
      <c r="K13" s="11" t="str">
        <f t="shared" si="5"/>
        <v>N</v>
      </c>
      <c r="L13" s="38"/>
      <c r="M13" s="20">
        <v>7</v>
      </c>
      <c r="N13" s="11" t="str">
        <f t="shared" si="6"/>
        <v>PERCAKAPAN</v>
      </c>
      <c r="O13" s="31" t="str">
        <f t="shared" si="7"/>
        <v>M RANGGA ABDURRASYID</v>
      </c>
      <c r="P13" s="11">
        <f t="shared" si="8"/>
        <v>0</v>
      </c>
      <c r="Q13" s="14"/>
      <c r="R13" s="26"/>
      <c r="S13" s="26"/>
      <c r="T13" s="26"/>
    </row>
    <row r="14" spans="3:20" ht="20.100000000000001" customHeight="1" x14ac:dyDescent="0.25">
      <c r="C14" s="20">
        <v>8</v>
      </c>
      <c r="D14" s="11" t="str">
        <f t="shared" si="0"/>
        <v>ILMU PENGETAHUAN ALAM</v>
      </c>
      <c r="E14" s="31" t="str">
        <f t="shared" si="1"/>
        <v>MAYA JUNITA, S.Pd</v>
      </c>
      <c r="F14" s="11" t="str">
        <f t="shared" si="2"/>
        <v>Y</v>
      </c>
      <c r="G14" s="34"/>
      <c r="H14" s="20">
        <v>8</v>
      </c>
      <c r="I14" s="11" t="str">
        <f t="shared" si="3"/>
        <v>ILMU PENGETAHUAN ALAM</v>
      </c>
      <c r="J14" s="31" t="str">
        <f t="shared" si="4"/>
        <v>MAYA JUNITA, S.Pd</v>
      </c>
      <c r="K14" s="11" t="str">
        <f t="shared" si="5"/>
        <v>Y</v>
      </c>
      <c r="L14" s="38"/>
      <c r="M14" s="20">
        <v>8</v>
      </c>
      <c r="N14" s="11" t="str">
        <f t="shared" si="6"/>
        <v>ILMU PENGETAHUAN ALAM</v>
      </c>
      <c r="O14" s="31" t="str">
        <f t="shared" si="7"/>
        <v>MAYA JUNITA, S.Pd</v>
      </c>
      <c r="P14" s="11">
        <f t="shared" si="8"/>
        <v>0</v>
      </c>
      <c r="Q14" s="14"/>
      <c r="R14" s="26"/>
      <c r="S14" s="26"/>
      <c r="T14" s="26"/>
    </row>
    <row r="15" spans="3:20" ht="20.100000000000001" customHeight="1" x14ac:dyDescent="0.25">
      <c r="C15" s="20">
        <v>9</v>
      </c>
      <c r="D15" s="11" t="str">
        <f t="shared" si="0"/>
        <v>BAHASA INGGRIS</v>
      </c>
      <c r="E15" s="31" t="str">
        <f t="shared" si="1"/>
        <v>RANGGA ABDURRASYID</v>
      </c>
      <c r="F15" s="11" t="str">
        <f t="shared" si="2"/>
        <v>Y</v>
      </c>
      <c r="G15" s="34"/>
      <c r="H15" s="20">
        <v>9</v>
      </c>
      <c r="I15" s="11" t="str">
        <f t="shared" si="3"/>
        <v>BAHASA INGGRIS</v>
      </c>
      <c r="J15" s="31" t="str">
        <f t="shared" si="4"/>
        <v>RANGGA ABDURRASYID</v>
      </c>
      <c r="K15" s="11" t="str">
        <f t="shared" si="5"/>
        <v>Y</v>
      </c>
      <c r="L15" s="38"/>
      <c r="M15" s="20">
        <v>9</v>
      </c>
      <c r="N15" s="11" t="str">
        <f t="shared" si="6"/>
        <v>BAHASA INGGRIS</v>
      </c>
      <c r="O15" s="31" t="str">
        <f t="shared" si="7"/>
        <v>RANGGA ABDURRASYID</v>
      </c>
      <c r="P15" s="11">
        <f t="shared" si="8"/>
        <v>0</v>
      </c>
      <c r="Q15" s="14"/>
      <c r="R15" s="26"/>
      <c r="S15" s="26"/>
      <c r="T15" s="26"/>
    </row>
    <row r="16" spans="3:20" ht="20.100000000000001" customHeight="1" x14ac:dyDescent="0.25">
      <c r="C16" s="20">
        <v>10</v>
      </c>
      <c r="D16" s="11" t="str">
        <f t="shared" si="0"/>
        <v>B. INDONESIA</v>
      </c>
      <c r="E16" s="31" t="str">
        <f t="shared" si="1"/>
        <v>RANRAN AGUSTIAN, S.Pd.I</v>
      </c>
      <c r="F16" s="11" t="str">
        <f t="shared" si="2"/>
        <v>Y</v>
      </c>
      <c r="G16" s="34"/>
      <c r="H16" s="20">
        <v>10</v>
      </c>
      <c r="I16" s="11" t="str">
        <f t="shared" si="3"/>
        <v>B. INDONESIA</v>
      </c>
      <c r="J16" s="31" t="str">
        <f t="shared" si="4"/>
        <v>RANRAN AGUSTIAN, S.Pd.I</v>
      </c>
      <c r="K16" s="11" t="str">
        <f t="shared" si="5"/>
        <v>N</v>
      </c>
      <c r="L16" s="38"/>
      <c r="M16" s="20">
        <v>10</v>
      </c>
      <c r="N16" s="11" t="str">
        <f t="shared" si="6"/>
        <v>B. INDONESIA</v>
      </c>
      <c r="O16" s="31" t="str">
        <f t="shared" si="7"/>
        <v>RANRAN AGUSTIAN, S.Pd.I</v>
      </c>
      <c r="P16" s="11">
        <f t="shared" si="8"/>
        <v>0</v>
      </c>
      <c r="Q16" s="14"/>
      <c r="R16" s="26"/>
      <c r="S16" s="26"/>
      <c r="T16" s="26"/>
    </row>
    <row r="17" spans="3:20" ht="20.100000000000001" customHeight="1" x14ac:dyDescent="0.25">
      <c r="C17" s="20">
        <v>11</v>
      </c>
      <c r="D17" s="11" t="str">
        <f t="shared" si="0"/>
        <v>SENI BUDAYA</v>
      </c>
      <c r="E17" s="31" t="str">
        <f t="shared" si="1"/>
        <v>RISMA MARTINDA</v>
      </c>
      <c r="F17" s="11" t="str">
        <f t="shared" si="2"/>
        <v>N</v>
      </c>
      <c r="G17" s="34"/>
      <c r="H17" s="20">
        <v>11</v>
      </c>
      <c r="I17" s="11" t="str">
        <f t="shared" si="3"/>
        <v>SENI BUDAYA</v>
      </c>
      <c r="J17" s="31" t="str">
        <f t="shared" si="4"/>
        <v>RISMA MARTINDA</v>
      </c>
      <c r="K17" s="11" t="str">
        <f t="shared" si="5"/>
        <v>N</v>
      </c>
      <c r="L17" s="38"/>
      <c r="M17" s="20">
        <v>11</v>
      </c>
      <c r="N17" s="11" t="str">
        <f t="shared" si="6"/>
        <v>SENI BUDAYA</v>
      </c>
      <c r="O17" s="31" t="str">
        <f t="shared" si="7"/>
        <v>RISMA MARTINDA</v>
      </c>
      <c r="P17" s="11">
        <f t="shared" si="8"/>
        <v>0</v>
      </c>
      <c r="Q17" s="14"/>
      <c r="R17" s="26"/>
      <c r="S17" s="26"/>
      <c r="T17" s="26"/>
    </row>
    <row r="18" spans="3:20" ht="20.100000000000001" customHeight="1" x14ac:dyDescent="0.25">
      <c r="C18" s="20">
        <v>12</v>
      </c>
      <c r="D18" s="11" t="str">
        <f t="shared" si="0"/>
        <v>PENDIDIKAN JASMANI, OLAHRAGA, DAN KESEHATAN</v>
      </c>
      <c r="E18" s="31" t="str">
        <f t="shared" si="1"/>
        <v>ROBI SANANA</v>
      </c>
      <c r="F18" s="11" t="str">
        <f t="shared" si="2"/>
        <v>Y</v>
      </c>
      <c r="G18" s="34"/>
      <c r="H18" s="20">
        <v>12</v>
      </c>
      <c r="I18" s="11" t="str">
        <f t="shared" si="3"/>
        <v>PENDIDIKAN JASMANI, OLAHRAGA, DAN KESEHATAN</v>
      </c>
      <c r="J18" s="31" t="str">
        <f t="shared" si="4"/>
        <v>ROBI SANANA</v>
      </c>
      <c r="K18" s="11" t="str">
        <f t="shared" si="5"/>
        <v>N</v>
      </c>
      <c r="L18" s="38"/>
      <c r="M18" s="20">
        <v>12</v>
      </c>
      <c r="N18" s="11" t="str">
        <f t="shared" si="6"/>
        <v>PENDIDIKAN JASMANI, OLAHRAGA, DAN KESEHATAN</v>
      </c>
      <c r="O18" s="31" t="str">
        <f t="shared" si="7"/>
        <v>ROBI SANANA</v>
      </c>
      <c r="P18" s="11">
        <f t="shared" si="8"/>
        <v>0</v>
      </c>
      <c r="Q18" s="14"/>
      <c r="R18" s="26"/>
      <c r="S18" s="26"/>
      <c r="T18" s="26"/>
    </row>
    <row r="19" spans="3:20" ht="20.100000000000001" customHeight="1" x14ac:dyDescent="0.25">
      <c r="C19" s="20">
        <v>13</v>
      </c>
      <c r="D19" s="11" t="str">
        <f t="shared" si="0"/>
        <v>PRAKARYA</v>
      </c>
      <c r="E19" s="31" t="str">
        <f t="shared" si="1"/>
        <v>SABAR</v>
      </c>
      <c r="F19" s="11" t="str">
        <f t="shared" si="2"/>
        <v>N</v>
      </c>
      <c r="G19" s="34"/>
      <c r="H19" s="20">
        <v>13</v>
      </c>
      <c r="I19" s="11" t="str">
        <f t="shared" si="3"/>
        <v>PRAKARYA</v>
      </c>
      <c r="J19" s="31" t="str">
        <f t="shared" si="4"/>
        <v>SABAR</v>
      </c>
      <c r="K19" s="11" t="str">
        <f t="shared" si="5"/>
        <v>Y</v>
      </c>
      <c r="L19" s="38"/>
      <c r="M19" s="20">
        <v>13</v>
      </c>
      <c r="N19" s="11" t="str">
        <f t="shared" si="6"/>
        <v>PRAKARYA</v>
      </c>
      <c r="O19" s="31" t="str">
        <f t="shared" si="7"/>
        <v>SABAR</v>
      </c>
      <c r="P19" s="11">
        <f t="shared" si="8"/>
        <v>0</v>
      </c>
      <c r="Q19" s="14"/>
      <c r="R19" s="26"/>
      <c r="S19" s="26"/>
      <c r="T19" s="26"/>
    </row>
    <row r="20" spans="3:20" ht="20.100000000000001" customHeight="1" x14ac:dyDescent="0.25">
      <c r="C20" s="20">
        <v>14</v>
      </c>
      <c r="D20" s="11" t="str">
        <f t="shared" si="0"/>
        <v>PKN</v>
      </c>
      <c r="E20" s="31" t="str">
        <f t="shared" si="1"/>
        <v>SRI NURHAYATI, S.Pd</v>
      </c>
      <c r="F20" s="11" t="str">
        <f t="shared" si="2"/>
        <v>N</v>
      </c>
      <c r="G20" s="34"/>
      <c r="H20" s="20">
        <v>14</v>
      </c>
      <c r="I20" s="11" t="str">
        <f t="shared" si="3"/>
        <v>PKN</v>
      </c>
      <c r="J20" s="31" t="str">
        <f t="shared" si="4"/>
        <v>SRI NURHAYATI, S.Pd</v>
      </c>
      <c r="K20" s="11" t="str">
        <f t="shared" si="5"/>
        <v>N</v>
      </c>
      <c r="L20" s="38"/>
      <c r="M20" s="20">
        <v>14</v>
      </c>
      <c r="N20" s="11" t="str">
        <f t="shared" si="6"/>
        <v>PKN</v>
      </c>
      <c r="O20" s="31" t="str">
        <f t="shared" si="7"/>
        <v>SRI NURHAYATI, S.Pd</v>
      </c>
      <c r="P20" s="11">
        <f t="shared" si="8"/>
        <v>0</v>
      </c>
      <c r="Q20" s="14"/>
      <c r="R20" s="26"/>
      <c r="S20" s="26"/>
      <c r="T20" s="26"/>
    </row>
    <row r="21" spans="3:20" ht="20.100000000000001" customHeight="1" x14ac:dyDescent="0.25">
      <c r="C21" s="20">
        <v>15</v>
      </c>
      <c r="D21" s="11" t="str">
        <f t="shared" si="0"/>
        <v>BASA SUNDA</v>
      </c>
      <c r="E21" s="31" t="str">
        <f t="shared" si="1"/>
        <v>SUHENDAR TANUWIJAYA</v>
      </c>
      <c r="F21" s="11" t="str">
        <f t="shared" si="2"/>
        <v>Y</v>
      </c>
      <c r="G21" s="34"/>
      <c r="H21" s="20">
        <v>15</v>
      </c>
      <c r="I21" s="11" t="str">
        <f t="shared" si="3"/>
        <v>BASA SUNDA</v>
      </c>
      <c r="J21" s="31" t="str">
        <f t="shared" si="4"/>
        <v>SUHENDAR TANUWIJAYA</v>
      </c>
      <c r="K21" s="11" t="str">
        <f t="shared" si="5"/>
        <v>Y</v>
      </c>
      <c r="L21" s="38"/>
      <c r="M21" s="20">
        <v>15</v>
      </c>
      <c r="N21" s="11" t="str">
        <f t="shared" si="6"/>
        <v>BASA SUNDA</v>
      </c>
      <c r="O21" s="31" t="str">
        <f t="shared" si="7"/>
        <v>SUHENDAR TANUWIJAYA</v>
      </c>
      <c r="P21" s="11">
        <f t="shared" si="8"/>
        <v>0</v>
      </c>
      <c r="Q21" s="14"/>
      <c r="R21" s="26"/>
      <c r="S21" s="26"/>
      <c r="T21" s="26"/>
    </row>
    <row r="22" spans="3:20" ht="20.100000000000001" customHeight="1" x14ac:dyDescent="0.25">
      <c r="C22" s="20">
        <v>16</v>
      </c>
      <c r="D22" s="11" t="str">
        <f t="shared" si="0"/>
        <v>AL-QUR'AN HADITS</v>
      </c>
      <c r="E22" s="31" t="str">
        <f t="shared" si="1"/>
        <v>UJANG SAEBATULHAMDI, S.Pd.I</v>
      </c>
      <c r="F22" s="11" t="str">
        <f t="shared" si="2"/>
        <v>N</v>
      </c>
      <c r="G22" s="34"/>
      <c r="H22" s="20">
        <v>16</v>
      </c>
      <c r="I22" s="11" t="str">
        <f t="shared" si="3"/>
        <v>AL-QUR'AN HADITS</v>
      </c>
      <c r="J22" s="31" t="str">
        <f t="shared" si="4"/>
        <v>UJANG SAEBATULHAMDI, S.Pd.I</v>
      </c>
      <c r="K22" s="11" t="str">
        <f t="shared" si="5"/>
        <v>N</v>
      </c>
      <c r="L22" s="38"/>
      <c r="M22" s="20">
        <v>16</v>
      </c>
      <c r="N22" s="11" t="str">
        <f t="shared" si="6"/>
        <v>AL-QUR'AN HADITS</v>
      </c>
      <c r="O22" s="31" t="str">
        <f t="shared" si="7"/>
        <v>UJANG SAEBATULHAMDI, S.Pd.I</v>
      </c>
      <c r="P22" s="11">
        <f t="shared" si="8"/>
        <v>0</v>
      </c>
      <c r="Q22" s="14"/>
      <c r="R22" s="26"/>
      <c r="S22" s="26"/>
      <c r="T22" s="26"/>
    </row>
    <row r="23" spans="3:20" ht="20.100000000000001" customHeight="1" x14ac:dyDescent="0.25">
      <c r="C23" s="20">
        <v>17</v>
      </c>
      <c r="D23" s="11" t="str">
        <f t="shared" si="0"/>
        <v>SKI KELAS 7</v>
      </c>
      <c r="E23" s="31" t="str">
        <f t="shared" si="1"/>
        <v>UJANG SUHANDI</v>
      </c>
      <c r="F23" s="11" t="str">
        <f t="shared" si="2"/>
        <v>N</v>
      </c>
      <c r="G23" s="34"/>
      <c r="H23" s="20">
        <v>17</v>
      </c>
      <c r="I23" s="11" t="str">
        <f t="shared" si="3"/>
        <v>SKI KELAS 8</v>
      </c>
      <c r="J23" s="31" t="str">
        <f t="shared" si="4"/>
        <v>DEDE HASAN MUHAEMIN</v>
      </c>
      <c r="K23" s="11" t="str">
        <f t="shared" si="5"/>
        <v>N</v>
      </c>
      <c r="L23" s="38"/>
      <c r="M23" s="20">
        <v>17</v>
      </c>
      <c r="N23" s="11" t="str">
        <f t="shared" si="6"/>
        <v>SKI</v>
      </c>
      <c r="O23" s="31" t="str">
        <f t="shared" si="7"/>
        <v>UJANG SUHANDI</v>
      </c>
      <c r="P23" s="11">
        <f t="shared" si="8"/>
        <v>0</v>
      </c>
      <c r="Q23" s="14"/>
      <c r="R23" s="26"/>
      <c r="S23" s="26"/>
      <c r="T23" s="26"/>
    </row>
    <row r="24" spans="3:20" ht="20.100000000000001" customHeight="1" x14ac:dyDescent="0.25">
      <c r="C24" s="20">
        <v>18</v>
      </c>
      <c r="D24" s="11" t="str">
        <f t="shared" si="0"/>
        <v>MATEMATIKA</v>
      </c>
      <c r="E24" s="31" t="str">
        <f t="shared" si="1"/>
        <v>YAYU RAMDIANI F, S.Pd.I</v>
      </c>
      <c r="F24" s="11" t="str">
        <f t="shared" si="2"/>
        <v>N</v>
      </c>
      <c r="G24" s="34"/>
      <c r="H24" s="20">
        <v>18</v>
      </c>
      <c r="I24" s="11" t="str">
        <f t="shared" si="3"/>
        <v>MATEMATIKA</v>
      </c>
      <c r="J24" s="31" t="str">
        <f t="shared" si="4"/>
        <v>YAYU RAMDIANI F, S.Pd.I</v>
      </c>
      <c r="K24" s="11" t="str">
        <f t="shared" si="5"/>
        <v>N</v>
      </c>
      <c r="L24" s="38"/>
      <c r="M24" s="20">
        <v>18</v>
      </c>
      <c r="N24" s="11" t="str">
        <f t="shared" si="6"/>
        <v>MATEMATIKA</v>
      </c>
      <c r="O24" s="31" t="str">
        <f t="shared" si="7"/>
        <v>YAYU RAMDIANI F, S.Pd.I</v>
      </c>
      <c r="P24" s="11">
        <f t="shared" si="8"/>
        <v>0</v>
      </c>
      <c r="Q24" s="14"/>
      <c r="R24" s="26"/>
      <c r="S24" s="26"/>
      <c r="T24" s="26"/>
    </row>
    <row r="25" spans="3:20" ht="20.100000000000001" customHeight="1" x14ac:dyDescent="0.25">
      <c r="C25" s="20">
        <v>19</v>
      </c>
      <c r="D25" s="11">
        <f t="shared" si="0"/>
        <v>0</v>
      </c>
      <c r="E25" s="31">
        <f t="shared" si="1"/>
        <v>0</v>
      </c>
      <c r="F25" s="11">
        <f t="shared" si="2"/>
        <v>0</v>
      </c>
      <c r="G25" s="34"/>
      <c r="H25" s="20">
        <v>19</v>
      </c>
      <c r="I25" s="11">
        <f t="shared" si="3"/>
        <v>0</v>
      </c>
      <c r="J25" s="31">
        <f t="shared" si="4"/>
        <v>0</v>
      </c>
      <c r="K25" s="11">
        <f t="shared" si="5"/>
        <v>0</v>
      </c>
      <c r="L25" s="38"/>
      <c r="M25" s="20">
        <v>19</v>
      </c>
      <c r="N25" s="11">
        <f t="shared" si="6"/>
        <v>0</v>
      </c>
      <c r="O25" s="31">
        <f t="shared" si="7"/>
        <v>0</v>
      </c>
      <c r="P25" s="11">
        <f t="shared" si="8"/>
        <v>0</v>
      </c>
      <c r="Q25" s="14"/>
      <c r="R25" s="26"/>
      <c r="S25" s="26"/>
      <c r="T25" s="26"/>
    </row>
    <row r="26" spans="3:20" ht="20.100000000000001" customHeight="1" x14ac:dyDescent="0.25">
      <c r="C26" s="60" t="s">
        <v>65</v>
      </c>
      <c r="D26" s="60"/>
      <c r="E26" s="60"/>
      <c r="F26" s="60"/>
      <c r="G26" s="34"/>
      <c r="H26" s="60" t="s">
        <v>65</v>
      </c>
      <c r="I26" s="60"/>
      <c r="J26" s="60"/>
      <c r="K26" s="60"/>
      <c r="L26" s="38"/>
      <c r="M26" s="60" t="s">
        <v>65</v>
      </c>
      <c r="N26" s="60"/>
      <c r="O26" s="60"/>
      <c r="P26" s="60"/>
      <c r="Q26" s="14"/>
      <c r="R26" s="26"/>
      <c r="S26" s="26"/>
      <c r="T26" s="26"/>
    </row>
    <row r="27" spans="3:20" ht="20.100000000000001" customHeight="1" x14ac:dyDescent="0.25">
      <c r="C27" s="19" t="s">
        <v>1</v>
      </c>
      <c r="D27" s="5" t="s">
        <v>4</v>
      </c>
      <c r="E27" s="19" t="s">
        <v>3</v>
      </c>
      <c r="F27" s="20" t="s">
        <v>63</v>
      </c>
      <c r="G27" s="35"/>
      <c r="H27" s="19" t="s">
        <v>1</v>
      </c>
      <c r="I27" s="5" t="s">
        <v>4</v>
      </c>
      <c r="J27" s="19" t="s">
        <v>3</v>
      </c>
      <c r="K27" s="20" t="s">
        <v>63</v>
      </c>
      <c r="L27" s="39"/>
      <c r="M27" s="19" t="s">
        <v>1</v>
      </c>
      <c r="N27" s="5" t="s">
        <v>4</v>
      </c>
      <c r="O27" s="19" t="s">
        <v>3</v>
      </c>
      <c r="P27" s="20" t="s">
        <v>63</v>
      </c>
      <c r="Q27" s="14"/>
      <c r="R27" s="26"/>
      <c r="S27" s="26"/>
      <c r="T27" s="26"/>
    </row>
    <row r="28" spans="3:20" ht="20.100000000000001" customHeight="1" x14ac:dyDescent="0.25">
      <c r="C28" s="20">
        <v>1</v>
      </c>
      <c r="D28" s="11" t="str">
        <f t="shared" ref="D28:D48" si="9">VLOOKUP(C28,KELAS7SEMESTER2,9)</f>
        <v>AKIDAH AHLAK</v>
      </c>
      <c r="E28" s="31" t="str">
        <f t="shared" ref="E28:E48" si="10">VLOOKUP(C28,KELAS7SEMESTER2,16)</f>
        <v>AGUS SAEBATULHAMDI</v>
      </c>
      <c r="F28" s="11" t="str">
        <f t="shared" ref="F28:F48" si="11">VLOOKUP(C28,KELAS7SEMESTER2,6)</f>
        <v>N</v>
      </c>
      <c r="G28" s="36"/>
      <c r="H28" s="20">
        <v>1</v>
      </c>
      <c r="I28" s="11" t="str">
        <f t="shared" ref="I28:I48" si="12">VLOOKUP(H28,KELAS8SEMESTER2,7)</f>
        <v>AKIDAH AHLAK</v>
      </c>
      <c r="J28" s="31" t="str">
        <f t="shared" ref="J28:J48" si="13">VLOOKUP(H28,KELAS8SEMESTER2,14)</f>
        <v>AGUS SAEBATULHAMDI</v>
      </c>
      <c r="K28" s="11" t="str">
        <f t="shared" ref="K28:K48" si="14">VLOOKUP(H28,KELAS8SEMESTER2,4)</f>
        <v>N</v>
      </c>
      <c r="L28" s="36"/>
      <c r="M28" s="20">
        <v>1</v>
      </c>
      <c r="N28" s="11" t="str">
        <f t="shared" ref="N28:N48" si="15">VLOOKUP(M28,KELAS9SEMESTER2,5)</f>
        <v>AKIDAH AHLAK</v>
      </c>
      <c r="O28" s="31" t="str">
        <f t="shared" ref="O28:O48" si="16">VLOOKUP(M28,KELAS9SEMESTER2,12)</f>
        <v>AGUS SAEBATULHAMDI</v>
      </c>
      <c r="P28" s="11">
        <f t="shared" ref="P28:P48" si="17">VLOOKUP(M28,KELAS9SEMESTER2,2)</f>
        <v>0</v>
      </c>
      <c r="Q28" s="26"/>
      <c r="R28" s="26"/>
      <c r="S28" s="26"/>
      <c r="T28" s="26"/>
    </row>
    <row r="29" spans="3:20" ht="20.100000000000001" customHeight="1" x14ac:dyDescent="0.25">
      <c r="C29" s="20">
        <v>2</v>
      </c>
      <c r="D29" s="11" t="str">
        <f t="shared" si="9"/>
        <v>TIK</v>
      </c>
      <c r="E29" s="31" t="str">
        <f t="shared" si="10"/>
        <v>ANDRI RIFQI HIDAYAT</v>
      </c>
      <c r="F29" s="11" t="str">
        <f t="shared" si="11"/>
        <v>N</v>
      </c>
      <c r="G29" s="36"/>
      <c r="H29" s="20">
        <v>2</v>
      </c>
      <c r="I29" s="11" t="str">
        <f t="shared" si="12"/>
        <v>TIK</v>
      </c>
      <c r="J29" s="31" t="str">
        <f t="shared" si="13"/>
        <v>ANDRI RIFQI HIDAYAT</v>
      </c>
      <c r="K29" s="11" t="str">
        <f t="shared" si="14"/>
        <v>N</v>
      </c>
      <c r="L29" s="36"/>
      <c r="M29" s="20">
        <v>2</v>
      </c>
      <c r="N29" s="11" t="str">
        <f t="shared" si="15"/>
        <v>TIK</v>
      </c>
      <c r="O29" s="31" t="str">
        <f t="shared" si="16"/>
        <v>ANDRI RIFQI HIDAYAT</v>
      </c>
      <c r="P29" s="11">
        <f t="shared" si="17"/>
        <v>0</v>
      </c>
      <c r="Q29" s="26"/>
      <c r="R29" s="26"/>
      <c r="S29" s="26"/>
      <c r="T29" s="26"/>
    </row>
    <row r="30" spans="3:20" ht="20.100000000000001" customHeight="1" x14ac:dyDescent="0.25">
      <c r="C30" s="20">
        <v>3</v>
      </c>
      <c r="D30" s="11" t="str">
        <f t="shared" si="9"/>
        <v>KITAB KUNING</v>
      </c>
      <c r="E30" s="31" t="str">
        <f t="shared" si="10"/>
        <v>DEDE HASAN MUHAEMIN</v>
      </c>
      <c r="F30" s="11" t="str">
        <f t="shared" si="11"/>
        <v>N</v>
      </c>
      <c r="G30" s="36"/>
      <c r="H30" s="20">
        <v>3</v>
      </c>
      <c r="I30" s="11" t="str">
        <f t="shared" si="12"/>
        <v>KITAB KUNING</v>
      </c>
      <c r="J30" s="31" t="str">
        <f t="shared" si="13"/>
        <v>DEDE HASAN MUHAEMIN</v>
      </c>
      <c r="K30" s="11" t="str">
        <f t="shared" si="14"/>
        <v>N</v>
      </c>
      <c r="L30" s="36"/>
      <c r="M30" s="20">
        <v>3</v>
      </c>
      <c r="N30" s="11" t="str">
        <f t="shared" si="15"/>
        <v>KITAB KUNING</v>
      </c>
      <c r="O30" s="31" t="str">
        <f t="shared" si="16"/>
        <v>DEDE HASAN MUHAEMIN</v>
      </c>
      <c r="P30" s="11">
        <f t="shared" si="17"/>
        <v>0</v>
      </c>
      <c r="Q30" s="26"/>
      <c r="R30" s="26"/>
      <c r="S30" s="26"/>
      <c r="T30" s="26"/>
    </row>
    <row r="31" spans="3:20" ht="20.100000000000001" customHeight="1" x14ac:dyDescent="0.25">
      <c r="C31" s="20">
        <v>4</v>
      </c>
      <c r="D31" s="11" t="str">
        <f t="shared" si="9"/>
        <v>ILMU PENGETAHUAN SOSIAL</v>
      </c>
      <c r="E31" s="31" t="str">
        <f t="shared" si="10"/>
        <v>DEVI SUGIYANTI, S.Pd</v>
      </c>
      <c r="F31" s="11" t="str">
        <f t="shared" si="11"/>
        <v>N</v>
      </c>
      <c r="G31" s="36"/>
      <c r="H31" s="20">
        <v>4</v>
      </c>
      <c r="I31" s="11" t="str">
        <f t="shared" si="12"/>
        <v>ILMU PENGETAHUAN SOSIAL</v>
      </c>
      <c r="J31" s="31" t="str">
        <f t="shared" si="13"/>
        <v>DEVI SUGIYANTI, S.Pd</v>
      </c>
      <c r="K31" s="11" t="str">
        <f t="shared" si="14"/>
        <v>Y</v>
      </c>
      <c r="L31" s="36"/>
      <c r="M31" s="20">
        <v>4</v>
      </c>
      <c r="N31" s="11" t="str">
        <f t="shared" si="15"/>
        <v>ILMU PENGETAHUAN SOSIAL</v>
      </c>
      <c r="O31" s="31" t="str">
        <f t="shared" si="16"/>
        <v>DEVI SUGIYANTI, S.Pd</v>
      </c>
      <c r="P31" s="11">
        <f t="shared" si="17"/>
        <v>0</v>
      </c>
      <c r="Q31" s="26"/>
      <c r="R31" s="26"/>
      <c r="S31" s="26"/>
      <c r="T31" s="26"/>
    </row>
    <row r="32" spans="3:20" ht="20.100000000000001" customHeight="1" x14ac:dyDescent="0.25">
      <c r="C32" s="20">
        <v>5</v>
      </c>
      <c r="D32" s="11" t="str">
        <f t="shared" si="9"/>
        <v>FIQIH</v>
      </c>
      <c r="E32" s="31" t="str">
        <f t="shared" si="10"/>
        <v>Drs.H.U BADRUSALAM, S.Ag M.M</v>
      </c>
      <c r="F32" s="11" t="str">
        <f t="shared" si="11"/>
        <v>N</v>
      </c>
      <c r="G32" s="36"/>
      <c r="H32" s="20">
        <v>5</v>
      </c>
      <c r="I32" s="11" t="str">
        <f t="shared" si="12"/>
        <v>FIQIH</v>
      </c>
      <c r="J32" s="31" t="str">
        <f t="shared" si="13"/>
        <v>Drs.H.U BADRUSALAM, S.Ag M.M</v>
      </c>
      <c r="K32" s="11" t="str">
        <f t="shared" si="14"/>
        <v>N</v>
      </c>
      <c r="L32" s="36"/>
      <c r="M32" s="20">
        <v>5</v>
      </c>
      <c r="N32" s="11" t="str">
        <f t="shared" si="15"/>
        <v>FIQIH</v>
      </c>
      <c r="O32" s="31" t="str">
        <f t="shared" si="16"/>
        <v>Drs.H.U BADRUSALAM, S.Ag M.M</v>
      </c>
      <c r="P32" s="11">
        <f t="shared" si="17"/>
        <v>0</v>
      </c>
      <c r="Q32" s="26"/>
      <c r="R32" s="26"/>
      <c r="S32" s="26"/>
      <c r="T32" s="26"/>
    </row>
    <row r="33" spans="3:20" ht="20.100000000000001" customHeight="1" x14ac:dyDescent="0.25">
      <c r="C33" s="20">
        <v>6</v>
      </c>
      <c r="D33" s="11" t="str">
        <f t="shared" si="9"/>
        <v>B. ARAB</v>
      </c>
      <c r="E33" s="31" t="str">
        <f t="shared" si="10"/>
        <v>FIKI RAHMATIKA</v>
      </c>
      <c r="F33" s="11" t="str">
        <f t="shared" si="11"/>
        <v>N</v>
      </c>
      <c r="G33" s="36"/>
      <c r="H33" s="20">
        <v>6</v>
      </c>
      <c r="I33" s="11" t="str">
        <f t="shared" si="12"/>
        <v>B. ARAB</v>
      </c>
      <c r="J33" s="31" t="str">
        <f t="shared" si="13"/>
        <v>FIKI RAHMATIKA</v>
      </c>
      <c r="K33" s="11" t="str">
        <f t="shared" si="14"/>
        <v>N</v>
      </c>
      <c r="L33" s="36"/>
      <c r="M33" s="20">
        <v>6</v>
      </c>
      <c r="N33" s="11" t="str">
        <f t="shared" si="15"/>
        <v>B. ARAB</v>
      </c>
      <c r="O33" s="31" t="str">
        <f t="shared" si="16"/>
        <v>FIKI RAHMATIKA</v>
      </c>
      <c r="P33" s="11">
        <f t="shared" si="17"/>
        <v>0</v>
      </c>
      <c r="Q33" s="26"/>
      <c r="R33" s="26"/>
      <c r="S33" s="26"/>
      <c r="T33" s="26"/>
    </row>
    <row r="34" spans="3:20" ht="20.100000000000001" customHeight="1" x14ac:dyDescent="0.25">
      <c r="C34" s="20">
        <v>7</v>
      </c>
      <c r="D34" s="11" t="str">
        <f t="shared" si="9"/>
        <v>PERCAKAPAN</v>
      </c>
      <c r="E34" s="31" t="str">
        <f t="shared" si="10"/>
        <v>M RANGGA ABDURRASYID</v>
      </c>
      <c r="F34" s="11" t="str">
        <f t="shared" si="11"/>
        <v>N</v>
      </c>
      <c r="G34" s="36"/>
      <c r="H34" s="20">
        <v>7</v>
      </c>
      <c r="I34" s="11" t="str">
        <f t="shared" si="12"/>
        <v>PERCAKAPAN</v>
      </c>
      <c r="J34" s="31" t="str">
        <f t="shared" si="13"/>
        <v>M RANGGA ABDURRASYID</v>
      </c>
      <c r="K34" s="11" t="str">
        <f t="shared" si="14"/>
        <v>N</v>
      </c>
      <c r="L34" s="36"/>
      <c r="M34" s="20">
        <v>7</v>
      </c>
      <c r="N34" s="11" t="str">
        <f t="shared" si="15"/>
        <v>PERCAKAPAN</v>
      </c>
      <c r="O34" s="31" t="str">
        <f t="shared" si="16"/>
        <v>M RANGGA ABDURRASYID</v>
      </c>
      <c r="P34" s="11">
        <f t="shared" si="17"/>
        <v>0</v>
      </c>
      <c r="Q34" s="26"/>
      <c r="R34" s="26"/>
      <c r="S34" s="26"/>
      <c r="T34" s="26"/>
    </row>
    <row r="35" spans="3:20" ht="20.100000000000001" customHeight="1" x14ac:dyDescent="0.25">
      <c r="C35" s="20">
        <v>8</v>
      </c>
      <c r="D35" s="11" t="str">
        <f t="shared" si="9"/>
        <v>ILMU PENGETAHUAN ALAM</v>
      </c>
      <c r="E35" s="31" t="str">
        <f t="shared" si="10"/>
        <v>MAYA JUNITA, S.Pd</v>
      </c>
      <c r="F35" s="11" t="str">
        <f t="shared" si="11"/>
        <v>Y</v>
      </c>
      <c r="G35" s="36"/>
      <c r="H35" s="20">
        <v>8</v>
      </c>
      <c r="I35" s="11" t="str">
        <f t="shared" si="12"/>
        <v>ILMU PENGETAHUAN ALAM</v>
      </c>
      <c r="J35" s="31" t="str">
        <f t="shared" si="13"/>
        <v>MAYA JUNITA, S.Pd</v>
      </c>
      <c r="K35" s="11" t="str">
        <f t="shared" si="14"/>
        <v>Y</v>
      </c>
      <c r="L35" s="36"/>
      <c r="M35" s="20">
        <v>8</v>
      </c>
      <c r="N35" s="11" t="str">
        <f t="shared" si="15"/>
        <v>ILMU PENGETAHUAN ALAM</v>
      </c>
      <c r="O35" s="31" t="str">
        <f t="shared" si="16"/>
        <v>MAYA JUNITA, S.Pd</v>
      </c>
      <c r="P35" s="11">
        <f t="shared" si="17"/>
        <v>0</v>
      </c>
      <c r="Q35" s="26"/>
      <c r="R35" s="26"/>
      <c r="S35" s="26"/>
      <c r="T35" s="26"/>
    </row>
    <row r="36" spans="3:20" ht="20.100000000000001" customHeight="1" x14ac:dyDescent="0.25">
      <c r="C36" s="20">
        <v>9</v>
      </c>
      <c r="D36" s="11" t="str">
        <f t="shared" si="9"/>
        <v>BAHASA INGGRIS</v>
      </c>
      <c r="E36" s="31" t="str">
        <f t="shared" si="10"/>
        <v>RANGGA ABDURRASYID</v>
      </c>
      <c r="F36" s="11" t="str">
        <f t="shared" si="11"/>
        <v>Y</v>
      </c>
      <c r="G36" s="36"/>
      <c r="H36" s="20">
        <v>9</v>
      </c>
      <c r="I36" s="11" t="str">
        <f t="shared" si="12"/>
        <v>BAHASA INGGRIS</v>
      </c>
      <c r="J36" s="31" t="str">
        <f t="shared" si="13"/>
        <v>RANGGA ABDURRASYID</v>
      </c>
      <c r="K36" s="11" t="str">
        <f t="shared" si="14"/>
        <v>Y</v>
      </c>
      <c r="L36" s="36"/>
      <c r="M36" s="20">
        <v>9</v>
      </c>
      <c r="N36" s="11" t="str">
        <f t="shared" si="15"/>
        <v>BAHASA INGGRIS</v>
      </c>
      <c r="O36" s="31" t="str">
        <f t="shared" si="16"/>
        <v>RANGGA ABDURRASYID</v>
      </c>
      <c r="P36" s="11">
        <f t="shared" si="17"/>
        <v>0</v>
      </c>
      <c r="Q36" s="26"/>
      <c r="R36" s="26"/>
      <c r="S36" s="26"/>
      <c r="T36" s="26"/>
    </row>
    <row r="37" spans="3:20" ht="20.100000000000001" customHeight="1" x14ac:dyDescent="0.25">
      <c r="C37" s="20">
        <v>10</v>
      </c>
      <c r="D37" s="11" t="str">
        <f t="shared" si="9"/>
        <v>B. INDONESIA</v>
      </c>
      <c r="E37" s="31" t="str">
        <f t="shared" si="10"/>
        <v>RANRAN AGUSTIAN, S.Pd.I</v>
      </c>
      <c r="F37" s="11" t="str">
        <f t="shared" si="11"/>
        <v>Y</v>
      </c>
      <c r="G37" s="36"/>
      <c r="H37" s="20">
        <v>10</v>
      </c>
      <c r="I37" s="11" t="str">
        <f t="shared" si="12"/>
        <v>B. INDONESIA</v>
      </c>
      <c r="J37" s="31" t="str">
        <f t="shared" si="13"/>
        <v>RANRAN AGUSTIAN, S.Pd.I</v>
      </c>
      <c r="K37" s="11" t="str">
        <f t="shared" si="14"/>
        <v>N</v>
      </c>
      <c r="L37" s="36"/>
      <c r="M37" s="20">
        <v>10</v>
      </c>
      <c r="N37" s="11" t="str">
        <f t="shared" si="15"/>
        <v>B. INDONESIA</v>
      </c>
      <c r="O37" s="31" t="str">
        <f t="shared" si="16"/>
        <v>RANRAN AGUSTIAN, S.Pd.I</v>
      </c>
      <c r="P37" s="11">
        <f t="shared" si="17"/>
        <v>0</v>
      </c>
      <c r="Q37" s="26"/>
      <c r="R37" s="26"/>
      <c r="S37" s="26"/>
      <c r="T37" s="26"/>
    </row>
    <row r="38" spans="3:20" ht="20.100000000000001" customHeight="1" x14ac:dyDescent="0.25">
      <c r="C38" s="20">
        <v>11</v>
      </c>
      <c r="D38" s="11" t="str">
        <f t="shared" si="9"/>
        <v>SENI BUDAYA</v>
      </c>
      <c r="E38" s="31" t="str">
        <f t="shared" si="10"/>
        <v>RISMA MARTINDA</v>
      </c>
      <c r="F38" s="11" t="str">
        <f t="shared" si="11"/>
        <v>N</v>
      </c>
      <c r="G38" s="36"/>
      <c r="H38" s="20">
        <v>11</v>
      </c>
      <c r="I38" s="11" t="str">
        <f t="shared" si="12"/>
        <v>SENI BUDAYA</v>
      </c>
      <c r="J38" s="31" t="str">
        <f t="shared" si="13"/>
        <v>RISMA MARTINDA</v>
      </c>
      <c r="K38" s="11" t="str">
        <f t="shared" si="14"/>
        <v>N</v>
      </c>
      <c r="L38" s="36"/>
      <c r="M38" s="20">
        <v>11</v>
      </c>
      <c r="N38" s="11" t="str">
        <f t="shared" si="15"/>
        <v>SENI BUDAYA</v>
      </c>
      <c r="O38" s="31" t="str">
        <f t="shared" si="16"/>
        <v>RISMA MARTINDA</v>
      </c>
      <c r="P38" s="11">
        <f t="shared" si="17"/>
        <v>0</v>
      </c>
      <c r="Q38" s="26"/>
      <c r="R38" s="26"/>
      <c r="S38" s="26"/>
      <c r="T38" s="26"/>
    </row>
    <row r="39" spans="3:20" ht="20.100000000000001" customHeight="1" x14ac:dyDescent="0.25">
      <c r="C39" s="20">
        <v>12</v>
      </c>
      <c r="D39" s="11" t="str">
        <f t="shared" si="9"/>
        <v>PENDIDIKAN JASMANI, OLAHRAGA, DAN KESEHATAN</v>
      </c>
      <c r="E39" s="31" t="str">
        <f t="shared" si="10"/>
        <v>ROBI SANANA</v>
      </c>
      <c r="F39" s="11" t="str">
        <f t="shared" si="11"/>
        <v>Y</v>
      </c>
      <c r="G39" s="36"/>
      <c r="H39" s="20">
        <v>12</v>
      </c>
      <c r="I39" s="11" t="str">
        <f t="shared" si="12"/>
        <v>PENDIDIKAN JASMANI, OLAHRAGA, DAN KESEHATAN</v>
      </c>
      <c r="J39" s="31" t="str">
        <f t="shared" si="13"/>
        <v>ROBI SANANA</v>
      </c>
      <c r="K39" s="11" t="str">
        <f t="shared" si="14"/>
        <v>N</v>
      </c>
      <c r="L39" s="36"/>
      <c r="M39" s="20">
        <v>12</v>
      </c>
      <c r="N39" s="11" t="str">
        <f t="shared" si="15"/>
        <v>PENDIDIKAN JASMANI, OLAHRAGA, DAN KESEHATAN</v>
      </c>
      <c r="O39" s="31" t="str">
        <f t="shared" si="16"/>
        <v>ROBI SANANA</v>
      </c>
      <c r="P39" s="11">
        <f t="shared" si="17"/>
        <v>0</v>
      </c>
      <c r="Q39" s="26"/>
      <c r="R39" s="26"/>
      <c r="S39" s="26"/>
      <c r="T39" s="26"/>
    </row>
    <row r="40" spans="3:20" ht="20.100000000000001" customHeight="1" x14ac:dyDescent="0.25">
      <c r="C40" s="20">
        <v>13</v>
      </c>
      <c r="D40" s="11" t="str">
        <f t="shared" si="9"/>
        <v>PRAKARYA</v>
      </c>
      <c r="E40" s="31" t="str">
        <f t="shared" si="10"/>
        <v>SABAR</v>
      </c>
      <c r="F40" s="11" t="str">
        <f t="shared" si="11"/>
        <v>Y</v>
      </c>
      <c r="G40" s="36"/>
      <c r="H40" s="20">
        <v>13</v>
      </c>
      <c r="I40" s="11" t="str">
        <f t="shared" si="12"/>
        <v>PRAKARYA</v>
      </c>
      <c r="J40" s="31" t="str">
        <f t="shared" si="13"/>
        <v>SABAR</v>
      </c>
      <c r="K40" s="11" t="str">
        <f t="shared" si="14"/>
        <v>N</v>
      </c>
      <c r="L40" s="36"/>
      <c r="M40" s="20">
        <v>13</v>
      </c>
      <c r="N40" s="11" t="str">
        <f t="shared" si="15"/>
        <v>PRAKARYA</v>
      </c>
      <c r="O40" s="31" t="str">
        <f t="shared" si="16"/>
        <v>SABAR</v>
      </c>
      <c r="P40" s="11">
        <f t="shared" si="17"/>
        <v>0</v>
      </c>
      <c r="Q40" s="26"/>
      <c r="R40" s="26"/>
      <c r="S40" s="26"/>
      <c r="T40" s="26"/>
    </row>
    <row r="41" spans="3:20" ht="20.100000000000001" customHeight="1" x14ac:dyDescent="0.25">
      <c r="C41" s="20">
        <v>14</v>
      </c>
      <c r="D41" s="11" t="str">
        <f t="shared" si="9"/>
        <v>PKN</v>
      </c>
      <c r="E41" s="31" t="str">
        <f t="shared" si="10"/>
        <v>SRI NURHAYATI, S.Pd</v>
      </c>
      <c r="F41" s="11" t="str">
        <f t="shared" si="11"/>
        <v>N</v>
      </c>
      <c r="G41" s="36"/>
      <c r="H41" s="20">
        <v>14</v>
      </c>
      <c r="I41" s="11" t="str">
        <f t="shared" si="12"/>
        <v>PKN</v>
      </c>
      <c r="J41" s="31" t="str">
        <f t="shared" si="13"/>
        <v>SRI NURHAYATI, S.Pd</v>
      </c>
      <c r="K41" s="11" t="str">
        <f t="shared" si="14"/>
        <v>N</v>
      </c>
      <c r="L41" s="36"/>
      <c r="M41" s="20">
        <v>14</v>
      </c>
      <c r="N41" s="11" t="str">
        <f t="shared" si="15"/>
        <v>PKN</v>
      </c>
      <c r="O41" s="31" t="str">
        <f t="shared" si="16"/>
        <v>SRI NURHAYATI, S.Pd</v>
      </c>
      <c r="P41" s="11">
        <f t="shared" si="17"/>
        <v>0</v>
      </c>
      <c r="Q41" s="26"/>
      <c r="R41" s="26"/>
      <c r="S41" s="26"/>
      <c r="T41" s="26"/>
    </row>
    <row r="42" spans="3:20" ht="20.100000000000001" customHeight="1" x14ac:dyDescent="0.25">
      <c r="C42" s="20">
        <v>15</v>
      </c>
      <c r="D42" s="11" t="str">
        <f t="shared" si="9"/>
        <v>BASA SUNDA</v>
      </c>
      <c r="E42" s="31" t="str">
        <f t="shared" si="10"/>
        <v>SUHENDAR TANUWIJAYA</v>
      </c>
      <c r="F42" s="11" t="str">
        <f t="shared" si="11"/>
        <v>Y</v>
      </c>
      <c r="G42" s="36"/>
      <c r="H42" s="20">
        <v>15</v>
      </c>
      <c r="I42" s="11" t="str">
        <f t="shared" si="12"/>
        <v>BASA SUNDA</v>
      </c>
      <c r="J42" s="31" t="str">
        <f t="shared" si="13"/>
        <v>SUHENDAR TANUWIJAYA</v>
      </c>
      <c r="K42" s="11" t="str">
        <f t="shared" si="14"/>
        <v>Y</v>
      </c>
      <c r="L42" s="36"/>
      <c r="M42" s="20">
        <v>15</v>
      </c>
      <c r="N42" s="11" t="str">
        <f t="shared" si="15"/>
        <v>BASA SUNDA</v>
      </c>
      <c r="O42" s="31" t="str">
        <f t="shared" si="16"/>
        <v>SUHENDAR TANUWIJAYA</v>
      </c>
      <c r="P42" s="11">
        <f t="shared" si="17"/>
        <v>0</v>
      </c>
      <c r="Q42" s="26"/>
      <c r="R42" s="26"/>
      <c r="S42" s="26"/>
      <c r="T42" s="26"/>
    </row>
    <row r="43" spans="3:20" ht="20.100000000000001" customHeight="1" x14ac:dyDescent="0.25">
      <c r="C43" s="20">
        <v>16</v>
      </c>
      <c r="D43" s="11" t="str">
        <f t="shared" si="9"/>
        <v>AL-QUR'AN HADITS</v>
      </c>
      <c r="E43" s="31" t="str">
        <f t="shared" si="10"/>
        <v>UJANG SAEBATULHAMDI, S.Pd.I</v>
      </c>
      <c r="F43" s="11" t="str">
        <f t="shared" si="11"/>
        <v>N</v>
      </c>
      <c r="G43" s="36"/>
      <c r="H43" s="20">
        <v>16</v>
      </c>
      <c r="I43" s="11" t="str">
        <f t="shared" si="12"/>
        <v>AL-QUR'AN HADITS</v>
      </c>
      <c r="J43" s="31" t="str">
        <f t="shared" si="13"/>
        <v>UJANG SAEBATULHAMDI, S.Pd.I</v>
      </c>
      <c r="K43" s="11" t="str">
        <f t="shared" si="14"/>
        <v>N</v>
      </c>
      <c r="L43" s="36"/>
      <c r="M43" s="20">
        <v>16</v>
      </c>
      <c r="N43" s="11" t="str">
        <f t="shared" si="15"/>
        <v>AL-QUR'AN HADITS</v>
      </c>
      <c r="O43" s="31" t="str">
        <f t="shared" si="16"/>
        <v>UJANG SAEBATULHAMDI, S.Pd.I</v>
      </c>
      <c r="P43" s="11">
        <f t="shared" si="17"/>
        <v>0</v>
      </c>
      <c r="Q43" s="26"/>
      <c r="R43" s="26"/>
      <c r="S43" s="26"/>
      <c r="T43" s="26"/>
    </row>
    <row r="44" spans="3:20" ht="20.100000000000001" customHeight="1" x14ac:dyDescent="0.25">
      <c r="C44" s="20">
        <v>17</v>
      </c>
      <c r="D44" s="11" t="str">
        <f t="shared" si="9"/>
        <v>SKI KELAS 7</v>
      </c>
      <c r="E44" s="31" t="str">
        <f t="shared" si="10"/>
        <v>UJANG SUHANDI</v>
      </c>
      <c r="F44" s="11" t="str">
        <f t="shared" si="11"/>
        <v>N</v>
      </c>
      <c r="G44" s="36"/>
      <c r="H44" s="20">
        <v>17</v>
      </c>
      <c r="I44" s="11" t="str">
        <f t="shared" si="12"/>
        <v>SKI KELAS 8</v>
      </c>
      <c r="J44" s="31" t="str">
        <f t="shared" si="13"/>
        <v>DEDE HASAN MUHAEMIN</v>
      </c>
      <c r="K44" s="11" t="str">
        <f t="shared" si="14"/>
        <v>N</v>
      </c>
      <c r="L44" s="36"/>
      <c r="M44" s="20">
        <v>17</v>
      </c>
      <c r="N44" s="11" t="str">
        <f t="shared" si="15"/>
        <v>SKI</v>
      </c>
      <c r="O44" s="31" t="str">
        <f t="shared" si="16"/>
        <v>UJANG SUHANDI</v>
      </c>
      <c r="P44" s="11">
        <f t="shared" si="17"/>
        <v>0</v>
      </c>
      <c r="Q44" s="26"/>
      <c r="R44" s="26"/>
      <c r="S44" s="26"/>
      <c r="T44" s="26"/>
    </row>
    <row r="45" spans="3:20" ht="20.100000000000001" customHeight="1" x14ac:dyDescent="0.25">
      <c r="C45" s="20">
        <v>18</v>
      </c>
      <c r="D45" s="11" t="str">
        <f t="shared" si="9"/>
        <v>MATEMATIKA</v>
      </c>
      <c r="E45" s="31" t="str">
        <f t="shared" si="10"/>
        <v>YAYU RAMDIANI F, S.Pd.I</v>
      </c>
      <c r="F45" s="11" t="str">
        <f t="shared" si="11"/>
        <v>Y</v>
      </c>
      <c r="G45" s="36"/>
      <c r="H45" s="20">
        <v>18</v>
      </c>
      <c r="I45" s="11" t="str">
        <f t="shared" si="12"/>
        <v>MATEMATIKA</v>
      </c>
      <c r="J45" s="31" t="str">
        <f t="shared" si="13"/>
        <v>YAYU RAMDIANI F, S.Pd.I</v>
      </c>
      <c r="K45" s="11" t="str">
        <f t="shared" si="14"/>
        <v>Y</v>
      </c>
      <c r="L45" s="36"/>
      <c r="M45" s="20">
        <v>18</v>
      </c>
      <c r="N45" s="11" t="str">
        <f t="shared" si="15"/>
        <v>MATEMATIKA</v>
      </c>
      <c r="O45" s="31" t="str">
        <f t="shared" si="16"/>
        <v>YAYU RAMDIANI F, S.Pd.I</v>
      </c>
      <c r="P45" s="11">
        <f t="shared" si="17"/>
        <v>0</v>
      </c>
      <c r="Q45" s="26"/>
      <c r="R45" s="26"/>
      <c r="S45" s="26"/>
      <c r="T45" s="26"/>
    </row>
    <row r="46" spans="3:20" ht="20.100000000000001" customHeight="1" x14ac:dyDescent="0.25">
      <c r="C46" s="20">
        <v>19</v>
      </c>
      <c r="D46" s="11">
        <f t="shared" si="9"/>
        <v>0</v>
      </c>
      <c r="E46" s="31">
        <f t="shared" si="10"/>
        <v>0</v>
      </c>
      <c r="F46" s="11">
        <f t="shared" si="11"/>
        <v>0</v>
      </c>
      <c r="G46" s="36"/>
      <c r="H46" s="20">
        <v>19</v>
      </c>
      <c r="I46" s="11">
        <f t="shared" si="12"/>
        <v>0</v>
      </c>
      <c r="J46" s="31">
        <f t="shared" si="13"/>
        <v>0</v>
      </c>
      <c r="K46" s="11">
        <f t="shared" si="14"/>
        <v>0</v>
      </c>
      <c r="L46" s="36"/>
      <c r="M46" s="20">
        <v>19</v>
      </c>
      <c r="N46" s="11">
        <f t="shared" si="15"/>
        <v>0</v>
      </c>
      <c r="O46" s="31">
        <f t="shared" si="16"/>
        <v>0</v>
      </c>
      <c r="P46" s="11">
        <f t="shared" si="17"/>
        <v>0</v>
      </c>
      <c r="Q46" s="26"/>
      <c r="R46" s="26"/>
      <c r="S46" s="26"/>
      <c r="T46" s="26"/>
    </row>
    <row r="47" spans="3:20" ht="20.100000000000001" customHeight="1" x14ac:dyDescent="0.25">
      <c r="C47" s="20">
        <v>20</v>
      </c>
      <c r="D47" s="11">
        <f t="shared" si="9"/>
        <v>0</v>
      </c>
      <c r="E47" s="31">
        <f t="shared" si="10"/>
        <v>0</v>
      </c>
      <c r="F47" s="11">
        <f t="shared" si="11"/>
        <v>0</v>
      </c>
      <c r="G47" s="36"/>
      <c r="H47" s="20">
        <v>20</v>
      </c>
      <c r="I47" s="11">
        <f t="shared" si="12"/>
        <v>0</v>
      </c>
      <c r="J47" s="31">
        <f t="shared" si="13"/>
        <v>0</v>
      </c>
      <c r="K47" s="11">
        <f t="shared" si="14"/>
        <v>0</v>
      </c>
      <c r="L47" s="36"/>
      <c r="M47" s="20">
        <v>20</v>
      </c>
      <c r="N47" s="11">
        <f t="shared" si="15"/>
        <v>0</v>
      </c>
      <c r="O47" s="31">
        <f t="shared" si="16"/>
        <v>0</v>
      </c>
      <c r="P47" s="11">
        <f t="shared" si="17"/>
        <v>0</v>
      </c>
      <c r="Q47" s="26"/>
      <c r="R47" s="26"/>
      <c r="S47" s="26"/>
      <c r="T47" s="26"/>
    </row>
    <row r="48" spans="3:20" ht="20.100000000000001" customHeight="1" x14ac:dyDescent="0.25">
      <c r="C48" s="20">
        <v>21</v>
      </c>
      <c r="D48" s="11">
        <f t="shared" si="9"/>
        <v>0</v>
      </c>
      <c r="E48" s="31">
        <f t="shared" si="10"/>
        <v>0</v>
      </c>
      <c r="F48" s="11">
        <f t="shared" si="11"/>
        <v>0</v>
      </c>
      <c r="G48" s="36"/>
      <c r="H48" s="20">
        <v>21</v>
      </c>
      <c r="I48" s="11">
        <f t="shared" si="12"/>
        <v>0</v>
      </c>
      <c r="J48" s="31">
        <f t="shared" si="13"/>
        <v>0</v>
      </c>
      <c r="K48" s="11">
        <f t="shared" si="14"/>
        <v>0</v>
      </c>
      <c r="L48" s="36"/>
      <c r="M48" s="20">
        <v>21</v>
      </c>
      <c r="N48" s="11">
        <f t="shared" si="15"/>
        <v>0</v>
      </c>
      <c r="O48" s="31">
        <f t="shared" si="16"/>
        <v>0</v>
      </c>
      <c r="P48" s="11">
        <f t="shared" si="17"/>
        <v>0</v>
      </c>
      <c r="Q48" s="26"/>
      <c r="R48" s="26"/>
      <c r="S48" s="26"/>
      <c r="T48" s="26"/>
    </row>
    <row r="49" spans="7:20" ht="20.100000000000001" customHeight="1" x14ac:dyDescent="0.25">
      <c r="G49" s="36"/>
      <c r="H49" s="28"/>
      <c r="I49" s="26"/>
      <c r="J49" s="26"/>
      <c r="K49" s="26"/>
      <c r="L49" s="36"/>
      <c r="M49" s="26"/>
      <c r="N49" s="26"/>
      <c r="O49" s="26"/>
      <c r="P49" s="26"/>
      <c r="Q49" s="26"/>
      <c r="R49" s="26"/>
      <c r="S49" s="26"/>
      <c r="T49" s="26"/>
    </row>
    <row r="50" spans="7:20" ht="20.100000000000001" customHeight="1" x14ac:dyDescent="0.25">
      <c r="G50" s="36"/>
      <c r="H50" s="28"/>
      <c r="I50" s="26"/>
      <c r="J50" s="26"/>
      <c r="K50" s="26"/>
      <c r="L50" s="36"/>
      <c r="M50" s="26"/>
      <c r="N50" s="26"/>
      <c r="O50" s="26"/>
      <c r="P50" s="26"/>
      <c r="Q50" s="26"/>
      <c r="R50" s="26"/>
      <c r="S50" s="26"/>
      <c r="T50" s="26"/>
    </row>
    <row r="51" spans="7:20" ht="20.100000000000001" customHeight="1" x14ac:dyDescent="0.25">
      <c r="G51" s="36"/>
      <c r="H51" s="28"/>
      <c r="I51" s="26"/>
      <c r="J51" s="26"/>
      <c r="K51" s="26"/>
      <c r="L51" s="36"/>
      <c r="M51" s="26"/>
      <c r="N51" s="26"/>
      <c r="O51" s="26"/>
      <c r="P51" s="26"/>
      <c r="Q51" s="26"/>
      <c r="R51" s="26"/>
      <c r="S51" s="26"/>
      <c r="T51" s="26"/>
    </row>
    <row r="52" spans="7:20" ht="20.100000000000001" customHeight="1" x14ac:dyDescent="0.25">
      <c r="G52" s="36"/>
      <c r="H52" s="28"/>
      <c r="I52" s="26"/>
      <c r="J52" s="26"/>
      <c r="K52" s="26"/>
      <c r="L52" s="36"/>
      <c r="M52" s="26"/>
      <c r="N52" s="26"/>
      <c r="O52" s="26"/>
      <c r="P52" s="26"/>
      <c r="Q52" s="26"/>
      <c r="R52" s="26"/>
      <c r="S52" s="26"/>
      <c r="T52" s="26"/>
    </row>
    <row r="53" spans="7:20" ht="20.100000000000001" customHeight="1" x14ac:dyDescent="0.25">
      <c r="G53" s="36"/>
      <c r="H53" s="26"/>
      <c r="I53" s="26"/>
      <c r="J53" s="26"/>
      <c r="K53" s="26"/>
      <c r="L53" s="36"/>
      <c r="M53" s="26"/>
      <c r="N53" s="26"/>
      <c r="O53" s="26"/>
      <c r="P53" s="26"/>
      <c r="Q53" s="26"/>
      <c r="R53" s="26"/>
      <c r="S53" s="26"/>
      <c r="T53" s="26"/>
    </row>
    <row r="54" spans="7:20" ht="20.100000000000001" customHeight="1" x14ac:dyDescent="0.25">
      <c r="G54" s="36"/>
      <c r="H54" s="26"/>
      <c r="I54" s="26"/>
      <c r="J54" s="26"/>
      <c r="K54" s="26"/>
      <c r="L54" s="36"/>
      <c r="M54" s="26"/>
      <c r="N54" s="26"/>
      <c r="O54" s="26"/>
      <c r="P54" s="26"/>
      <c r="Q54" s="26"/>
      <c r="R54" s="26"/>
      <c r="S54" s="26"/>
      <c r="T54" s="26"/>
    </row>
    <row r="55" spans="7:20" ht="20.100000000000001" customHeight="1" x14ac:dyDescent="0.25">
      <c r="G55" s="36"/>
      <c r="H55" s="26"/>
      <c r="I55" s="26"/>
      <c r="J55" s="26"/>
      <c r="K55" s="26"/>
      <c r="L55" s="36"/>
      <c r="M55" s="26"/>
      <c r="N55" s="26"/>
      <c r="O55" s="26"/>
      <c r="P55" s="26"/>
      <c r="Q55" s="26"/>
      <c r="R55" s="26"/>
      <c r="S55" s="26"/>
      <c r="T55" s="26"/>
    </row>
    <row r="56" spans="7:20" ht="20.100000000000001" customHeight="1" x14ac:dyDescent="0.25">
      <c r="G56" s="36"/>
      <c r="H56" s="26"/>
      <c r="I56" s="26"/>
      <c r="J56" s="26"/>
      <c r="K56" s="26"/>
      <c r="L56" s="36"/>
      <c r="M56" s="26"/>
      <c r="N56" s="26"/>
      <c r="O56" s="26"/>
      <c r="P56" s="26"/>
      <c r="Q56" s="26"/>
      <c r="R56" s="26"/>
      <c r="S56" s="26"/>
      <c r="T56" s="26"/>
    </row>
    <row r="57" spans="7:20" ht="20.100000000000001" customHeight="1" x14ac:dyDescent="0.25">
      <c r="G57" s="36"/>
      <c r="H57" s="26"/>
      <c r="I57" s="26"/>
      <c r="J57" s="26"/>
      <c r="K57" s="26"/>
      <c r="L57" s="36"/>
      <c r="M57" s="26"/>
      <c r="N57" s="26"/>
      <c r="O57" s="26"/>
      <c r="P57" s="26"/>
      <c r="Q57" s="26"/>
      <c r="R57" s="26"/>
      <c r="S57" s="26"/>
      <c r="T57" s="26"/>
    </row>
    <row r="58" spans="7:20" ht="20.100000000000001" customHeight="1" x14ac:dyDescent="0.25">
      <c r="G58" s="36"/>
      <c r="H58" s="26"/>
      <c r="I58" s="26"/>
      <c r="J58" s="26"/>
      <c r="K58" s="26"/>
      <c r="L58" s="36"/>
      <c r="M58" s="26"/>
      <c r="N58" s="26"/>
      <c r="O58" s="26"/>
      <c r="P58" s="26"/>
      <c r="Q58" s="26"/>
      <c r="R58" s="26"/>
      <c r="S58" s="26"/>
      <c r="T58" s="26"/>
    </row>
  </sheetData>
  <mergeCells count="9">
    <mergeCell ref="M4:P4"/>
    <mergeCell ref="M5:P5"/>
    <mergeCell ref="M26:P26"/>
    <mergeCell ref="C4:F4"/>
    <mergeCell ref="C5:F5"/>
    <mergeCell ref="C26:F26"/>
    <mergeCell ref="H4:K4"/>
    <mergeCell ref="H5:K5"/>
    <mergeCell ref="H26:K26"/>
  </mergeCells>
  <conditionalFormatting sqref="Q4:Q27">
    <cfRule type="containsText" dxfId="53" priority="25" operator="containsText" text="BELUM TERSEDIA">
      <formula>NOT(ISERROR(SEARCH("BELUM TERSEDIA",Q4)))</formula>
    </cfRule>
    <cfRule type="containsText" dxfId="52" priority="26" operator="containsText" text="SUDAH ADA">
      <formula>NOT(ISERROR(SEARCH("SUDAH ADA",Q4)))</formula>
    </cfRule>
  </conditionalFormatting>
  <conditionalFormatting sqref="D7:F26 D27:E27">
    <cfRule type="containsText" dxfId="51" priority="23" operator="containsText" text="BELUM TERSEDIA">
      <formula>NOT(ISERROR(SEARCH("BELUM TERSEDIA",D7)))</formula>
    </cfRule>
    <cfRule type="containsText" dxfId="50" priority="24" operator="containsText" text="SUDAH ADA">
      <formula>NOT(ISERROR(SEARCH("SUDAH ADA",D7)))</formula>
    </cfRule>
  </conditionalFormatting>
  <conditionalFormatting sqref="D28:F48">
    <cfRule type="containsText" dxfId="49" priority="21" operator="containsText" text="BELUM TERSEDIA">
      <formula>NOT(ISERROR(SEARCH("BELUM TERSEDIA",D28)))</formula>
    </cfRule>
    <cfRule type="containsText" dxfId="48" priority="22" operator="containsText" text="SUDAH ADA">
      <formula>NOT(ISERROR(SEARCH("SUDAH ADA",D28)))</formula>
    </cfRule>
  </conditionalFormatting>
  <conditionalFormatting sqref="I7:K26 I27:J27">
    <cfRule type="containsText" dxfId="47" priority="19" operator="containsText" text="BELUM TERSEDIA">
      <formula>NOT(ISERROR(SEARCH("BELUM TERSEDIA",I7)))</formula>
    </cfRule>
    <cfRule type="containsText" dxfId="46" priority="20" operator="containsText" text="SUDAH ADA">
      <formula>NOT(ISERROR(SEARCH("SUDAH ADA",I7)))</formula>
    </cfRule>
  </conditionalFormatting>
  <conditionalFormatting sqref="N26:P26 N27:O27">
    <cfRule type="containsText" dxfId="45" priority="15" operator="containsText" text="BELUM TERSEDIA">
      <formula>NOT(ISERROR(SEARCH("BELUM TERSEDIA",N26)))</formula>
    </cfRule>
    <cfRule type="containsText" dxfId="44" priority="16" operator="containsText" text="SUDAH ADA">
      <formula>NOT(ISERROR(SEARCH("SUDAH ADA",N26)))</formula>
    </cfRule>
  </conditionalFormatting>
  <conditionalFormatting sqref="I28:K48">
    <cfRule type="containsText" dxfId="43" priority="11" operator="containsText" text="BELUM TERSEDIA">
      <formula>NOT(ISERROR(SEARCH("BELUM TERSEDIA",I28)))</formula>
    </cfRule>
    <cfRule type="containsText" dxfId="42" priority="12" operator="containsText" text="SUDAH ADA">
      <formula>NOT(ISERROR(SEARCH("SUDAH ADA",I28)))</formula>
    </cfRule>
  </conditionalFormatting>
  <conditionalFormatting sqref="N7:P25">
    <cfRule type="containsText" dxfId="41" priority="9" operator="containsText" text="BELUM TERSEDIA">
      <formula>NOT(ISERROR(SEARCH("BELUM TERSEDIA",N7)))</formula>
    </cfRule>
    <cfRule type="containsText" dxfId="40" priority="10" operator="containsText" text="SUDAH ADA">
      <formula>NOT(ISERROR(SEARCH("SUDAH ADA",N7)))</formula>
    </cfRule>
  </conditionalFormatting>
  <conditionalFormatting sqref="N28:P48">
    <cfRule type="containsText" dxfId="39" priority="7" operator="containsText" text="BELUM TERSEDIA">
      <formula>NOT(ISERROR(SEARCH("BELUM TERSEDIA",N28)))</formula>
    </cfRule>
    <cfRule type="containsText" dxfId="38" priority="8" operator="containsText" text="SUDAH ADA">
      <formula>NOT(ISERROR(SEARCH("SUDAH ADA",N28)))</formula>
    </cfRule>
  </conditionalFormatting>
  <conditionalFormatting sqref="F1:F5 F7:F26 F28:F1048576">
    <cfRule type="containsText" dxfId="37" priority="5" operator="containsText" text="N">
      <formula>NOT(ISERROR(SEARCH("N",F1)))</formula>
    </cfRule>
    <cfRule type="containsText" dxfId="36" priority="6" operator="containsText" text="Y">
      <formula>NOT(ISERROR(SEARCH("Y",F1)))</formula>
    </cfRule>
  </conditionalFormatting>
  <conditionalFormatting sqref="K1:K5 K7:K26 K28:K1048576">
    <cfRule type="containsText" dxfId="35" priority="3" operator="containsText" text="N">
      <formula>NOT(ISERROR(SEARCH("N",K1)))</formula>
    </cfRule>
    <cfRule type="containsText" dxfId="34" priority="4" operator="containsText" text="Y">
      <formula>NOT(ISERROR(SEARCH("Y",K1)))</formula>
    </cfRule>
  </conditionalFormatting>
  <conditionalFormatting sqref="P1:P5 P7:P26 P28:P1048576">
    <cfRule type="containsText" dxfId="33" priority="1" operator="containsText" text="N">
      <formula>NOT(ISERROR(SEARCH("N",P1)))</formula>
    </cfRule>
    <cfRule type="containsText" dxfId="32" priority="2" operator="containsText" text="Y">
      <formula>NOT(ISERROR(SEARCH("Y",P1)))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W27"/>
  <sheetViews>
    <sheetView workbookViewId="0">
      <selection activeCell="L9" sqref="L9"/>
    </sheetView>
  </sheetViews>
  <sheetFormatPr defaultRowHeight="15" x14ac:dyDescent="0.25"/>
  <cols>
    <col min="1" max="2" width="1.140625" style="41" customWidth="1"/>
    <col min="3" max="3" width="5.140625" style="41" customWidth="1"/>
    <col min="4" max="4" width="24.5703125" style="41" customWidth="1"/>
    <col min="5" max="5" width="26.5703125" style="41" customWidth="1"/>
    <col min="6" max="11" width="3.7109375" style="41" customWidth="1"/>
    <col min="12" max="12" width="4.5703125" style="41" customWidth="1"/>
    <col min="13" max="13" width="18.42578125" style="41" customWidth="1"/>
    <col min="14" max="14" width="5.140625" style="41" customWidth="1"/>
    <col min="15" max="15" width="8.5703125" style="41" customWidth="1"/>
    <col min="16" max="16384" width="9.140625" style="41"/>
  </cols>
  <sheetData>
    <row r="3" spans="3:23" ht="18.75" x14ac:dyDescent="0.25">
      <c r="C3" s="61" t="s">
        <v>28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40"/>
      <c r="Q3" s="40"/>
      <c r="R3" s="40"/>
      <c r="S3" s="40"/>
      <c r="T3" s="40"/>
      <c r="U3" s="40"/>
      <c r="V3" s="40"/>
      <c r="W3" s="40"/>
    </row>
    <row r="4" spans="3:23" s="27" customFormat="1" x14ac:dyDescent="0.25">
      <c r="C4" s="63" t="s">
        <v>1</v>
      </c>
      <c r="D4" s="63" t="s">
        <v>31</v>
      </c>
      <c r="E4" s="63" t="s">
        <v>66</v>
      </c>
      <c r="F4" s="62" t="s">
        <v>2</v>
      </c>
      <c r="G4" s="62"/>
      <c r="H4" s="62"/>
      <c r="I4" s="62"/>
      <c r="J4" s="62"/>
      <c r="K4" s="62"/>
      <c r="L4" s="62" t="s">
        <v>69</v>
      </c>
      <c r="M4" s="62" t="s">
        <v>63</v>
      </c>
      <c r="N4" s="62" t="s">
        <v>69</v>
      </c>
      <c r="O4" s="62" t="s">
        <v>2</v>
      </c>
    </row>
    <row r="5" spans="3:23" x14ac:dyDescent="0.25">
      <c r="C5" s="63"/>
      <c r="D5" s="63"/>
      <c r="E5" s="63"/>
      <c r="F5" s="56" t="s">
        <v>14</v>
      </c>
      <c r="G5" s="56"/>
      <c r="H5" s="56" t="s">
        <v>7</v>
      </c>
      <c r="I5" s="56"/>
      <c r="J5" s="56" t="s">
        <v>59</v>
      </c>
      <c r="K5" s="56"/>
      <c r="L5" s="62"/>
      <c r="M5" s="62"/>
      <c r="N5" s="62"/>
      <c r="O5" s="62"/>
      <c r="P5" s="25"/>
    </row>
    <row r="6" spans="3:23" x14ac:dyDescent="0.25">
      <c r="C6" s="63"/>
      <c r="D6" s="63"/>
      <c r="E6" s="63"/>
      <c r="F6" s="13" t="s">
        <v>8</v>
      </c>
      <c r="G6" s="13" t="s">
        <v>13</v>
      </c>
      <c r="H6" s="13" t="s">
        <v>8</v>
      </c>
      <c r="I6" s="13" t="s">
        <v>13</v>
      </c>
      <c r="J6" s="13" t="s">
        <v>8</v>
      </c>
      <c r="K6" s="13" t="s">
        <v>13</v>
      </c>
      <c r="L6" s="62"/>
      <c r="M6" s="62"/>
      <c r="N6" s="62"/>
      <c r="O6" s="62"/>
    </row>
    <row r="7" spans="3:23" ht="21" customHeight="1" x14ac:dyDescent="0.25">
      <c r="C7" s="11">
        <v>1</v>
      </c>
      <c r="D7" s="11" t="str">
        <f>VLOOKUP(C7,KELAS9SEMESTER1,6)</f>
        <v>AKIDAH AHLAK</v>
      </c>
      <c r="E7" s="31" t="str">
        <f t="shared" ref="E7:E24" si="0">VLOOKUP(C7,KELAS9SEMESTER1,13)</f>
        <v>AGUS SAEBATULHAMDI</v>
      </c>
      <c r="F7" s="11" t="str">
        <f t="shared" ref="F7:F24" si="1">VLOOKUP(C7,KELAS7SEMESTER1,7)</f>
        <v>N</v>
      </c>
      <c r="G7" s="11" t="str">
        <f t="shared" ref="G7:G24" si="2">VLOOKUP(C7,KELAS7SEMESTER2,6)</f>
        <v>N</v>
      </c>
      <c r="H7" s="11" t="str">
        <f t="shared" ref="H7:H24" si="3">VLOOKUP(C7,KELAS8SEMESTER1,5)</f>
        <v>N</v>
      </c>
      <c r="I7" s="11" t="str">
        <f t="shared" ref="I7:I24" si="4">VLOOKUP(C7,KELAS8SEMESTER2,4)</f>
        <v>N</v>
      </c>
      <c r="J7" s="11">
        <f t="shared" ref="J7:J24" si="5">VLOOKUP(C7,KELAS9SEMESTER1,3)</f>
        <v>0</v>
      </c>
      <c r="K7" s="11">
        <f t="shared" ref="K7:K24" si="6">VLOOKUP(C7,KELAS9SEMESTER2,2)</f>
        <v>0</v>
      </c>
      <c r="L7" s="13">
        <f>COUNTIF(F7:K7,"Y")</f>
        <v>0</v>
      </c>
      <c r="M7" s="13" t="str">
        <f>IF(L7=1,"BUKU PAKET 1",IF(L7=2,"BARU 2",IF(L7=3,"KURANG 1",IF(L7=4,"SUDAH CUKUP",IF(L7=5,"CUKUP",IF(L7=6,"OK",IF(L7&gt;=6,"KELEBIHAN","KOSONG")))))))</f>
        <v>KOSONG</v>
      </c>
      <c r="N7" s="13">
        <f>COUNTIF(F7:K7,"N")</f>
        <v>4</v>
      </c>
      <c r="O7" s="11" t="str">
        <f>IF(N7=2,"1 KELAS",IF(N7=4,"2 KELAS",IF(N7=6,"3 KELAS","CUKUP")))</f>
        <v>2 KELAS</v>
      </c>
    </row>
    <row r="8" spans="3:23" x14ac:dyDescent="0.25">
      <c r="C8" s="11">
        <v>2</v>
      </c>
      <c r="D8" s="11" t="str">
        <f t="shared" ref="D8:D24" si="7">VLOOKUP(C8,KELAS9SEMESTER1,6)</f>
        <v>TIK</v>
      </c>
      <c r="E8" s="31" t="str">
        <f t="shared" si="0"/>
        <v>ANDRI RIFQI HIDAYAT</v>
      </c>
      <c r="F8" s="11" t="str">
        <f t="shared" si="1"/>
        <v>N</v>
      </c>
      <c r="G8" s="11" t="str">
        <f t="shared" si="2"/>
        <v>N</v>
      </c>
      <c r="H8" s="11" t="str">
        <f t="shared" si="3"/>
        <v>N</v>
      </c>
      <c r="I8" s="11" t="str">
        <f t="shared" si="4"/>
        <v>N</v>
      </c>
      <c r="J8" s="11">
        <f t="shared" si="5"/>
        <v>0</v>
      </c>
      <c r="K8" s="11">
        <f t="shared" si="6"/>
        <v>0</v>
      </c>
      <c r="L8" s="13">
        <f t="shared" ref="L8:L24" si="8">COUNTIF(F8:K8,"Y")</f>
        <v>0</v>
      </c>
      <c r="M8" s="13" t="str">
        <f t="shared" ref="M8:M24" si="9">IF(L8=1,"BUKU PAKET 1",IF(L8=2,"BARU 2",IF(L8=3,"KURANG 1",IF(L8=4,"SUDAH CUKUP",IF(L8=5,"CUKUP",IF(L8=6,"OK",IF(L8&gt;=6,"KELEBIHAN","KOSONG")))))))</f>
        <v>KOSONG</v>
      </c>
      <c r="N8" s="13">
        <f t="shared" ref="N8:N24" si="10">COUNTIF(F8:K8,"N")</f>
        <v>4</v>
      </c>
      <c r="O8" s="11" t="str">
        <f t="shared" ref="O8:O24" si="11">IF(N8=2,"1 KELAS",IF(N8=4,"2 KELAS",IF(N8=6,"3 KELAS","CUKUP")))</f>
        <v>2 KELAS</v>
      </c>
    </row>
    <row r="9" spans="3:23" x14ac:dyDescent="0.25">
      <c r="C9" s="11">
        <v>3</v>
      </c>
      <c r="D9" s="11" t="str">
        <f t="shared" si="7"/>
        <v>KITAB KUNING</v>
      </c>
      <c r="E9" s="31" t="str">
        <f t="shared" si="0"/>
        <v>DEDE HASAN MUHAEMIN</v>
      </c>
      <c r="F9" s="11" t="str">
        <f t="shared" si="1"/>
        <v>N</v>
      </c>
      <c r="G9" s="11" t="str">
        <f t="shared" si="2"/>
        <v>N</v>
      </c>
      <c r="H9" s="11" t="str">
        <f t="shared" si="3"/>
        <v>N</v>
      </c>
      <c r="I9" s="11" t="str">
        <f t="shared" si="4"/>
        <v>N</v>
      </c>
      <c r="J9" s="11">
        <f t="shared" si="5"/>
        <v>0</v>
      </c>
      <c r="K9" s="11">
        <f t="shared" si="6"/>
        <v>0</v>
      </c>
      <c r="L9" s="13">
        <f t="shared" si="8"/>
        <v>0</v>
      </c>
      <c r="M9" s="13" t="str">
        <f t="shared" si="9"/>
        <v>KOSONG</v>
      </c>
      <c r="N9" s="13">
        <f t="shared" si="10"/>
        <v>4</v>
      </c>
      <c r="O9" s="11" t="str">
        <f t="shared" si="11"/>
        <v>2 KELAS</v>
      </c>
    </row>
    <row r="10" spans="3:23" ht="30" x14ac:dyDescent="0.25">
      <c r="C10" s="11">
        <v>4</v>
      </c>
      <c r="D10" s="11" t="str">
        <f>VLOOKUP(C10,KELAS9SEMESTER1,6)</f>
        <v>ILMU PENGETAHUAN SOSIAL</v>
      </c>
      <c r="E10" s="31" t="str">
        <f t="shared" si="0"/>
        <v>DEVI SUGIYANTI, S.Pd</v>
      </c>
      <c r="F10" s="11" t="str">
        <f t="shared" si="1"/>
        <v>N</v>
      </c>
      <c r="G10" s="11" t="str">
        <f t="shared" si="2"/>
        <v>N</v>
      </c>
      <c r="H10" s="11" t="str">
        <f t="shared" si="3"/>
        <v>Y</v>
      </c>
      <c r="I10" s="11" t="str">
        <f t="shared" si="4"/>
        <v>Y</v>
      </c>
      <c r="J10" s="11">
        <f t="shared" si="5"/>
        <v>0</v>
      </c>
      <c r="K10" s="11">
        <f t="shared" si="6"/>
        <v>0</v>
      </c>
      <c r="L10" s="13">
        <f t="shared" si="8"/>
        <v>2</v>
      </c>
      <c r="M10" s="13" t="str">
        <f t="shared" si="9"/>
        <v>BARU 2</v>
      </c>
      <c r="N10" s="13">
        <f t="shared" si="10"/>
        <v>2</v>
      </c>
      <c r="O10" s="11" t="str">
        <f t="shared" si="11"/>
        <v>1 KELAS</v>
      </c>
    </row>
    <row r="11" spans="3:23" ht="30" x14ac:dyDescent="0.25">
      <c r="C11" s="11">
        <v>5</v>
      </c>
      <c r="D11" s="11" t="str">
        <f t="shared" si="7"/>
        <v>FIQIH</v>
      </c>
      <c r="E11" s="31" t="str">
        <f t="shared" si="0"/>
        <v>Drs.H.U BADRUSALAM, S.Ag M.M</v>
      </c>
      <c r="F11" s="11" t="str">
        <f t="shared" si="1"/>
        <v>N</v>
      </c>
      <c r="G11" s="11" t="str">
        <f t="shared" si="2"/>
        <v>N</v>
      </c>
      <c r="H11" s="11" t="str">
        <f t="shared" si="3"/>
        <v>N</v>
      </c>
      <c r="I11" s="11" t="str">
        <f t="shared" si="4"/>
        <v>N</v>
      </c>
      <c r="J11" s="11">
        <f t="shared" si="5"/>
        <v>0</v>
      </c>
      <c r="K11" s="11">
        <f t="shared" si="6"/>
        <v>0</v>
      </c>
      <c r="L11" s="13">
        <f t="shared" si="8"/>
        <v>0</v>
      </c>
      <c r="M11" s="13" t="str">
        <f t="shared" si="9"/>
        <v>KOSONG</v>
      </c>
      <c r="N11" s="13">
        <f t="shared" si="10"/>
        <v>4</v>
      </c>
      <c r="O11" s="11" t="str">
        <f t="shared" si="11"/>
        <v>2 KELAS</v>
      </c>
    </row>
    <row r="12" spans="3:23" x14ac:dyDescent="0.25">
      <c r="C12" s="11">
        <v>6</v>
      </c>
      <c r="D12" s="11" t="str">
        <f t="shared" si="7"/>
        <v>B. ARAB</v>
      </c>
      <c r="E12" s="31" t="str">
        <f t="shared" si="0"/>
        <v>FIKI RAHMATIKA</v>
      </c>
      <c r="F12" s="11" t="str">
        <f t="shared" si="1"/>
        <v>N</v>
      </c>
      <c r="G12" s="11" t="str">
        <f t="shared" si="2"/>
        <v>N</v>
      </c>
      <c r="H12" s="11" t="str">
        <f t="shared" si="3"/>
        <v>N</v>
      </c>
      <c r="I12" s="11" t="str">
        <f t="shared" si="4"/>
        <v>N</v>
      </c>
      <c r="J12" s="11">
        <f t="shared" si="5"/>
        <v>0</v>
      </c>
      <c r="K12" s="11">
        <f t="shared" si="6"/>
        <v>0</v>
      </c>
      <c r="L12" s="13">
        <f t="shared" si="8"/>
        <v>0</v>
      </c>
      <c r="M12" s="13" t="str">
        <f t="shared" si="9"/>
        <v>KOSONG</v>
      </c>
      <c r="N12" s="13">
        <f t="shared" si="10"/>
        <v>4</v>
      </c>
      <c r="O12" s="11" t="str">
        <f t="shared" si="11"/>
        <v>2 KELAS</v>
      </c>
    </row>
    <row r="13" spans="3:23" x14ac:dyDescent="0.25">
      <c r="C13" s="11">
        <v>7</v>
      </c>
      <c r="D13" s="11" t="str">
        <f t="shared" si="7"/>
        <v>PERCAKAPAN</v>
      </c>
      <c r="E13" s="31" t="str">
        <f t="shared" si="0"/>
        <v>M RANGGA ABDURRASYID</v>
      </c>
      <c r="F13" s="11" t="str">
        <f t="shared" si="1"/>
        <v>N</v>
      </c>
      <c r="G13" s="11" t="str">
        <f t="shared" si="2"/>
        <v>N</v>
      </c>
      <c r="H13" s="11" t="str">
        <f t="shared" si="3"/>
        <v>N</v>
      </c>
      <c r="I13" s="11" t="str">
        <f t="shared" si="4"/>
        <v>N</v>
      </c>
      <c r="J13" s="11">
        <f t="shared" si="5"/>
        <v>0</v>
      </c>
      <c r="K13" s="11">
        <f t="shared" si="6"/>
        <v>0</v>
      </c>
      <c r="L13" s="13">
        <f t="shared" si="8"/>
        <v>0</v>
      </c>
      <c r="M13" s="13" t="str">
        <f t="shared" si="9"/>
        <v>KOSONG</v>
      </c>
      <c r="N13" s="13">
        <f t="shared" si="10"/>
        <v>4</v>
      </c>
      <c r="O13" s="11" t="str">
        <f t="shared" si="11"/>
        <v>2 KELAS</v>
      </c>
    </row>
    <row r="14" spans="3:23" ht="30" x14ac:dyDescent="0.25">
      <c r="C14" s="11">
        <v>8</v>
      </c>
      <c r="D14" s="11" t="str">
        <f t="shared" si="7"/>
        <v>ILMU PENGETAHUAN ALAM</v>
      </c>
      <c r="E14" s="31" t="str">
        <f t="shared" si="0"/>
        <v>MAYA JUNITA, S.Pd</v>
      </c>
      <c r="F14" s="11" t="str">
        <f t="shared" si="1"/>
        <v>Y</v>
      </c>
      <c r="G14" s="11" t="str">
        <f t="shared" si="2"/>
        <v>Y</v>
      </c>
      <c r="H14" s="11" t="str">
        <f t="shared" si="3"/>
        <v>Y</v>
      </c>
      <c r="I14" s="11" t="str">
        <f t="shared" si="4"/>
        <v>Y</v>
      </c>
      <c r="J14" s="11">
        <f t="shared" si="5"/>
        <v>0</v>
      </c>
      <c r="K14" s="11">
        <f t="shared" si="6"/>
        <v>0</v>
      </c>
      <c r="L14" s="13">
        <f t="shared" si="8"/>
        <v>4</v>
      </c>
      <c r="M14" s="13" t="str">
        <f t="shared" si="9"/>
        <v>SUDAH CUKUP</v>
      </c>
      <c r="N14" s="13">
        <f t="shared" si="10"/>
        <v>0</v>
      </c>
      <c r="O14" s="11" t="str">
        <f t="shared" si="11"/>
        <v>CUKUP</v>
      </c>
    </row>
    <row r="15" spans="3:23" x14ac:dyDescent="0.25">
      <c r="C15" s="11">
        <v>9</v>
      </c>
      <c r="D15" s="11" t="str">
        <f t="shared" si="7"/>
        <v>BAHASA INGGRIS</v>
      </c>
      <c r="E15" s="31" t="str">
        <f t="shared" si="0"/>
        <v>RANGGA ABDURRASYID</v>
      </c>
      <c r="F15" s="11" t="str">
        <f t="shared" si="1"/>
        <v>Y</v>
      </c>
      <c r="G15" s="11" t="str">
        <f t="shared" si="2"/>
        <v>Y</v>
      </c>
      <c r="H15" s="11" t="str">
        <f t="shared" si="3"/>
        <v>Y</v>
      </c>
      <c r="I15" s="11" t="str">
        <f t="shared" si="4"/>
        <v>Y</v>
      </c>
      <c r="J15" s="11">
        <f t="shared" si="5"/>
        <v>0</v>
      </c>
      <c r="K15" s="11">
        <f t="shared" si="6"/>
        <v>0</v>
      </c>
      <c r="L15" s="13">
        <f t="shared" si="8"/>
        <v>4</v>
      </c>
      <c r="M15" s="13" t="str">
        <f t="shared" si="9"/>
        <v>SUDAH CUKUP</v>
      </c>
      <c r="N15" s="13">
        <f t="shared" si="10"/>
        <v>0</v>
      </c>
      <c r="O15" s="11" t="str">
        <f t="shared" si="11"/>
        <v>CUKUP</v>
      </c>
    </row>
    <row r="16" spans="3:23" x14ac:dyDescent="0.25">
      <c r="C16" s="11">
        <v>10</v>
      </c>
      <c r="D16" s="11" t="str">
        <f t="shared" si="7"/>
        <v>B. INDONESIA</v>
      </c>
      <c r="E16" s="31" t="str">
        <f t="shared" si="0"/>
        <v>RANRAN AGUSTIAN, S.Pd.I</v>
      </c>
      <c r="F16" s="11" t="str">
        <f t="shared" si="1"/>
        <v>Y</v>
      </c>
      <c r="G16" s="11" t="str">
        <f t="shared" si="2"/>
        <v>Y</v>
      </c>
      <c r="H16" s="11" t="str">
        <f t="shared" si="3"/>
        <v>N</v>
      </c>
      <c r="I16" s="11" t="str">
        <f t="shared" si="4"/>
        <v>N</v>
      </c>
      <c r="J16" s="11">
        <f t="shared" si="5"/>
        <v>0</v>
      </c>
      <c r="K16" s="11">
        <f t="shared" si="6"/>
        <v>0</v>
      </c>
      <c r="L16" s="13">
        <f t="shared" si="8"/>
        <v>2</v>
      </c>
      <c r="M16" s="13" t="str">
        <f t="shared" si="9"/>
        <v>BARU 2</v>
      </c>
      <c r="N16" s="13">
        <f t="shared" si="10"/>
        <v>2</v>
      </c>
      <c r="O16" s="11" t="str">
        <f t="shared" si="11"/>
        <v>1 KELAS</v>
      </c>
    </row>
    <row r="17" spans="3:15" x14ac:dyDescent="0.25">
      <c r="C17" s="11">
        <v>11</v>
      </c>
      <c r="D17" s="11" t="str">
        <f t="shared" si="7"/>
        <v>SENI BUDAYA</v>
      </c>
      <c r="E17" s="31" t="str">
        <f t="shared" si="0"/>
        <v>RISMA MARTINDA</v>
      </c>
      <c r="F17" s="11" t="str">
        <f t="shared" si="1"/>
        <v>N</v>
      </c>
      <c r="G17" s="11" t="str">
        <f t="shared" si="2"/>
        <v>N</v>
      </c>
      <c r="H17" s="11" t="str">
        <f t="shared" si="3"/>
        <v>N</v>
      </c>
      <c r="I17" s="11" t="str">
        <f t="shared" si="4"/>
        <v>N</v>
      </c>
      <c r="J17" s="11">
        <f t="shared" si="5"/>
        <v>0</v>
      </c>
      <c r="K17" s="11">
        <f t="shared" si="6"/>
        <v>0</v>
      </c>
      <c r="L17" s="13">
        <f t="shared" si="8"/>
        <v>0</v>
      </c>
      <c r="M17" s="13" t="str">
        <f t="shared" si="9"/>
        <v>KOSONG</v>
      </c>
      <c r="N17" s="13">
        <f t="shared" si="10"/>
        <v>4</v>
      </c>
      <c r="O17" s="11" t="str">
        <f t="shared" si="11"/>
        <v>2 KELAS</v>
      </c>
    </row>
    <row r="18" spans="3:15" ht="45" x14ac:dyDescent="0.25">
      <c r="C18" s="11">
        <v>12</v>
      </c>
      <c r="D18" s="11" t="str">
        <f t="shared" si="7"/>
        <v>PENDIDIKAN JASMANI, OLAHRAGA, DAN KESEHATAN</v>
      </c>
      <c r="E18" s="31" t="str">
        <f t="shared" si="0"/>
        <v>ROBI SANANA</v>
      </c>
      <c r="F18" s="11" t="str">
        <f t="shared" si="1"/>
        <v>Y</v>
      </c>
      <c r="G18" s="11" t="str">
        <f t="shared" si="2"/>
        <v>Y</v>
      </c>
      <c r="H18" s="11" t="str">
        <f t="shared" si="3"/>
        <v>N</v>
      </c>
      <c r="I18" s="11" t="str">
        <f t="shared" si="4"/>
        <v>N</v>
      </c>
      <c r="J18" s="11">
        <f t="shared" si="5"/>
        <v>0</v>
      </c>
      <c r="K18" s="11">
        <f t="shared" si="6"/>
        <v>0</v>
      </c>
      <c r="L18" s="13">
        <f t="shared" si="8"/>
        <v>2</v>
      </c>
      <c r="M18" s="13" t="str">
        <f t="shared" si="9"/>
        <v>BARU 2</v>
      </c>
      <c r="N18" s="13">
        <f t="shared" si="10"/>
        <v>2</v>
      </c>
      <c r="O18" s="11" t="str">
        <f t="shared" si="11"/>
        <v>1 KELAS</v>
      </c>
    </row>
    <row r="19" spans="3:15" x14ac:dyDescent="0.25">
      <c r="C19" s="11">
        <v>13</v>
      </c>
      <c r="D19" s="11" t="str">
        <f t="shared" si="7"/>
        <v>PRAKARYA</v>
      </c>
      <c r="E19" s="31" t="str">
        <f t="shared" si="0"/>
        <v>SABAR</v>
      </c>
      <c r="F19" s="11" t="str">
        <f t="shared" si="1"/>
        <v>N</v>
      </c>
      <c r="G19" s="11" t="str">
        <f t="shared" si="2"/>
        <v>Y</v>
      </c>
      <c r="H19" s="11" t="str">
        <f t="shared" si="3"/>
        <v>Y</v>
      </c>
      <c r="I19" s="11" t="str">
        <f t="shared" si="4"/>
        <v>N</v>
      </c>
      <c r="J19" s="11">
        <f t="shared" si="5"/>
        <v>0</v>
      </c>
      <c r="K19" s="11">
        <f t="shared" si="6"/>
        <v>0</v>
      </c>
      <c r="L19" s="13">
        <f t="shared" si="8"/>
        <v>2</v>
      </c>
      <c r="M19" s="13" t="str">
        <f t="shared" si="9"/>
        <v>BARU 2</v>
      </c>
      <c r="N19" s="13">
        <f t="shared" si="10"/>
        <v>2</v>
      </c>
      <c r="O19" s="11" t="str">
        <f t="shared" si="11"/>
        <v>1 KELAS</v>
      </c>
    </row>
    <row r="20" spans="3:15" x14ac:dyDescent="0.25">
      <c r="C20" s="11">
        <v>14</v>
      </c>
      <c r="D20" s="11" t="str">
        <f t="shared" si="7"/>
        <v>PKN</v>
      </c>
      <c r="E20" s="31" t="str">
        <f t="shared" si="0"/>
        <v>SRI NURHAYATI, S.Pd</v>
      </c>
      <c r="F20" s="11" t="str">
        <f t="shared" si="1"/>
        <v>N</v>
      </c>
      <c r="G20" s="11" t="str">
        <f t="shared" si="2"/>
        <v>N</v>
      </c>
      <c r="H20" s="11" t="str">
        <f t="shared" si="3"/>
        <v>N</v>
      </c>
      <c r="I20" s="11" t="str">
        <f t="shared" si="4"/>
        <v>N</v>
      </c>
      <c r="J20" s="11">
        <f t="shared" si="5"/>
        <v>0</v>
      </c>
      <c r="K20" s="11">
        <f t="shared" si="6"/>
        <v>0</v>
      </c>
      <c r="L20" s="13">
        <f t="shared" si="8"/>
        <v>0</v>
      </c>
      <c r="M20" s="13" t="str">
        <f t="shared" si="9"/>
        <v>KOSONG</v>
      </c>
      <c r="N20" s="13">
        <f t="shared" si="10"/>
        <v>4</v>
      </c>
      <c r="O20" s="11" t="str">
        <f t="shared" si="11"/>
        <v>2 KELAS</v>
      </c>
    </row>
    <row r="21" spans="3:15" x14ac:dyDescent="0.25">
      <c r="C21" s="11">
        <v>15</v>
      </c>
      <c r="D21" s="11" t="str">
        <f t="shared" si="7"/>
        <v>BASA SUNDA</v>
      </c>
      <c r="E21" s="31" t="str">
        <f t="shared" si="0"/>
        <v>SUHENDAR TANUWIJAYA</v>
      </c>
      <c r="F21" s="11" t="str">
        <f t="shared" si="1"/>
        <v>Y</v>
      </c>
      <c r="G21" s="11" t="str">
        <f t="shared" si="2"/>
        <v>Y</v>
      </c>
      <c r="H21" s="11" t="str">
        <f t="shared" si="3"/>
        <v>Y</v>
      </c>
      <c r="I21" s="11" t="str">
        <f t="shared" si="4"/>
        <v>Y</v>
      </c>
      <c r="J21" s="11">
        <f t="shared" si="5"/>
        <v>0</v>
      </c>
      <c r="K21" s="11">
        <f t="shared" si="6"/>
        <v>0</v>
      </c>
      <c r="L21" s="13">
        <f t="shared" si="8"/>
        <v>4</v>
      </c>
      <c r="M21" s="13" t="str">
        <f t="shared" si="9"/>
        <v>SUDAH CUKUP</v>
      </c>
      <c r="N21" s="13">
        <f t="shared" si="10"/>
        <v>0</v>
      </c>
      <c r="O21" s="11" t="str">
        <f t="shared" si="11"/>
        <v>CUKUP</v>
      </c>
    </row>
    <row r="22" spans="3:15" ht="30" x14ac:dyDescent="0.25">
      <c r="C22" s="11">
        <v>16</v>
      </c>
      <c r="D22" s="11" t="str">
        <f t="shared" si="7"/>
        <v>AL-QUR'AN HADITS</v>
      </c>
      <c r="E22" s="31" t="str">
        <f t="shared" si="0"/>
        <v>UJANG SAEBATULHAMDI, S.Pd.I</v>
      </c>
      <c r="F22" s="11" t="str">
        <f t="shared" si="1"/>
        <v>N</v>
      </c>
      <c r="G22" s="11" t="str">
        <f t="shared" si="2"/>
        <v>N</v>
      </c>
      <c r="H22" s="11" t="str">
        <f t="shared" si="3"/>
        <v>N</v>
      </c>
      <c r="I22" s="11" t="str">
        <f t="shared" si="4"/>
        <v>N</v>
      </c>
      <c r="J22" s="11">
        <f t="shared" si="5"/>
        <v>0</v>
      </c>
      <c r="K22" s="11">
        <f t="shared" si="6"/>
        <v>0</v>
      </c>
      <c r="L22" s="13">
        <f t="shared" si="8"/>
        <v>0</v>
      </c>
      <c r="M22" s="13" t="str">
        <f t="shared" si="9"/>
        <v>KOSONG</v>
      </c>
      <c r="N22" s="13">
        <f t="shared" si="10"/>
        <v>4</v>
      </c>
      <c r="O22" s="11" t="str">
        <f t="shared" si="11"/>
        <v>2 KELAS</v>
      </c>
    </row>
    <row r="23" spans="3:15" x14ac:dyDescent="0.25">
      <c r="C23" s="11">
        <v>17</v>
      </c>
      <c r="D23" s="11" t="str">
        <f t="shared" si="7"/>
        <v>SKI</v>
      </c>
      <c r="E23" s="31" t="str">
        <f t="shared" si="0"/>
        <v>UJANG SUHANDI</v>
      </c>
      <c r="F23" s="11" t="str">
        <f t="shared" si="1"/>
        <v>N</v>
      </c>
      <c r="G23" s="11" t="str">
        <f t="shared" si="2"/>
        <v>N</v>
      </c>
      <c r="H23" s="11" t="str">
        <f t="shared" si="3"/>
        <v>N</v>
      </c>
      <c r="I23" s="11" t="str">
        <f t="shared" si="4"/>
        <v>N</v>
      </c>
      <c r="J23" s="11">
        <f t="shared" si="5"/>
        <v>0</v>
      </c>
      <c r="K23" s="11">
        <f t="shared" si="6"/>
        <v>0</v>
      </c>
      <c r="L23" s="13">
        <f t="shared" si="8"/>
        <v>0</v>
      </c>
      <c r="M23" s="13" t="str">
        <f t="shared" si="9"/>
        <v>KOSONG</v>
      </c>
      <c r="N23" s="13">
        <f t="shared" si="10"/>
        <v>4</v>
      </c>
      <c r="O23" s="11" t="str">
        <f t="shared" si="11"/>
        <v>2 KELAS</v>
      </c>
    </row>
    <row r="24" spans="3:15" x14ac:dyDescent="0.25">
      <c r="C24" s="11">
        <v>18</v>
      </c>
      <c r="D24" s="11" t="str">
        <f t="shared" si="7"/>
        <v>MATEMATIKA</v>
      </c>
      <c r="E24" s="31" t="str">
        <f t="shared" si="0"/>
        <v>YAYU RAMDIANI F, S.Pd.I</v>
      </c>
      <c r="F24" s="11" t="str">
        <f t="shared" si="1"/>
        <v>N</v>
      </c>
      <c r="G24" s="11" t="str">
        <f t="shared" si="2"/>
        <v>Y</v>
      </c>
      <c r="H24" s="11" t="str">
        <f t="shared" si="3"/>
        <v>N</v>
      </c>
      <c r="I24" s="11" t="str">
        <f t="shared" si="4"/>
        <v>Y</v>
      </c>
      <c r="J24" s="11">
        <f t="shared" si="5"/>
        <v>0</v>
      </c>
      <c r="K24" s="11">
        <f t="shared" si="6"/>
        <v>0</v>
      </c>
      <c r="L24" s="13">
        <f t="shared" si="8"/>
        <v>2</v>
      </c>
      <c r="M24" s="13" t="str">
        <f t="shared" si="9"/>
        <v>BARU 2</v>
      </c>
      <c r="N24" s="13">
        <f t="shared" si="10"/>
        <v>2</v>
      </c>
      <c r="O24" s="11" t="str">
        <f t="shared" si="11"/>
        <v>1 KELAS</v>
      </c>
    </row>
    <row r="25" spans="3:15" x14ac:dyDescent="0.25">
      <c r="C25" s="42"/>
      <c r="D25" s="42"/>
      <c r="E25" s="43"/>
      <c r="O25" s="42"/>
    </row>
    <row r="26" spans="3:15" x14ac:dyDescent="0.25">
      <c r="C26" s="42"/>
      <c r="D26" s="42"/>
      <c r="E26" s="43"/>
      <c r="O26" s="42"/>
    </row>
    <row r="27" spans="3:15" x14ac:dyDescent="0.25">
      <c r="C27" s="42"/>
      <c r="D27" s="42"/>
      <c r="E27" s="43"/>
    </row>
  </sheetData>
  <mergeCells count="12">
    <mergeCell ref="C3:O3"/>
    <mergeCell ref="M4:M6"/>
    <mergeCell ref="L4:L6"/>
    <mergeCell ref="N4:N6"/>
    <mergeCell ref="O4:O6"/>
    <mergeCell ref="F4:K4"/>
    <mergeCell ref="F5:G5"/>
    <mergeCell ref="H5:I5"/>
    <mergeCell ref="J5:K5"/>
    <mergeCell ref="C4:C6"/>
    <mergeCell ref="D4:D6"/>
    <mergeCell ref="E4:E6"/>
  </mergeCells>
  <conditionalFormatting sqref="T4:T26">
    <cfRule type="containsText" dxfId="31" priority="31" operator="containsText" text="BELUM TERSEDIA">
      <formula>NOT(ISERROR(SEARCH("BELUM TERSEDIA",T4)))</formula>
    </cfRule>
    <cfRule type="containsText" dxfId="30" priority="32" operator="containsText" text="SUDAH ADA">
      <formula>NOT(ISERROR(SEARCH("SUDAH ADA",T4)))</formula>
    </cfRule>
  </conditionalFormatting>
  <conditionalFormatting sqref="C4 C7:C27">
    <cfRule type="containsText" dxfId="29" priority="29" operator="containsText" text="BELUM TERSEDIA">
      <formula>NOT(ISERROR(SEARCH("BELUM TERSEDIA",C4)))</formula>
    </cfRule>
    <cfRule type="containsText" dxfId="28" priority="30" operator="containsText" text="SUDAH ADA">
      <formula>NOT(ISERROR(SEARCH("SUDAH ADA",C4)))</formula>
    </cfRule>
  </conditionalFormatting>
  <conditionalFormatting sqref="S3">
    <cfRule type="duplicateValues" dxfId="27" priority="28"/>
  </conditionalFormatting>
  <conditionalFormatting sqref="D7:E27">
    <cfRule type="containsText" dxfId="26" priority="26" operator="containsText" text="BELUM TERSEDIA">
      <formula>NOT(ISERROR(SEARCH("BELUM TERSEDIA",D7)))</formula>
    </cfRule>
    <cfRule type="containsText" dxfId="25" priority="27" operator="containsText" text="SUDAH ADA">
      <formula>NOT(ISERROR(SEARCH("SUDAH ADA",D7)))</formula>
    </cfRule>
  </conditionalFormatting>
  <conditionalFormatting sqref="F7:F24">
    <cfRule type="containsText" dxfId="24" priority="24" operator="containsText" text="BELUM TERSEDIA">
      <formula>NOT(ISERROR(SEARCH("BELUM TERSEDIA",F7)))</formula>
    </cfRule>
    <cfRule type="containsText" dxfId="23" priority="25" operator="containsText" text="SUDAH ADA">
      <formula>NOT(ISERROR(SEARCH("SUDAH ADA",F7)))</formula>
    </cfRule>
  </conditionalFormatting>
  <conditionalFormatting sqref="F7:F24">
    <cfRule type="containsText" dxfId="22" priority="22" operator="containsText" text="N">
      <formula>NOT(ISERROR(SEARCH("N",F7)))</formula>
    </cfRule>
    <cfRule type="containsText" dxfId="21" priority="23" operator="containsText" text="Y">
      <formula>NOT(ISERROR(SEARCH("Y",F7)))</formula>
    </cfRule>
  </conditionalFormatting>
  <conditionalFormatting sqref="K7:K24">
    <cfRule type="containsText" dxfId="20" priority="2" operator="containsText" text="N">
      <formula>NOT(ISERROR(SEARCH("N",K7)))</formula>
    </cfRule>
    <cfRule type="containsText" dxfId="19" priority="3" operator="containsText" text="Y">
      <formula>NOT(ISERROR(SEARCH("Y",K7)))</formula>
    </cfRule>
  </conditionalFormatting>
  <conditionalFormatting sqref="G7:G24">
    <cfRule type="containsText" dxfId="18" priority="20" operator="containsText" text="BELUM TERSEDIA">
      <formula>NOT(ISERROR(SEARCH("BELUM TERSEDIA",G7)))</formula>
    </cfRule>
    <cfRule type="containsText" dxfId="17" priority="21" operator="containsText" text="SUDAH ADA">
      <formula>NOT(ISERROR(SEARCH("SUDAH ADA",G7)))</formula>
    </cfRule>
  </conditionalFormatting>
  <conditionalFormatting sqref="G7:G24">
    <cfRule type="containsText" dxfId="16" priority="18" operator="containsText" text="N">
      <formula>NOT(ISERROR(SEARCH("N",G7)))</formula>
    </cfRule>
    <cfRule type="containsText" dxfId="15" priority="19" operator="containsText" text="Y">
      <formula>NOT(ISERROR(SEARCH("Y",G7)))</formula>
    </cfRule>
  </conditionalFormatting>
  <conditionalFormatting sqref="H7:H24">
    <cfRule type="containsText" dxfId="14" priority="16" operator="containsText" text="BELUM TERSEDIA">
      <formula>NOT(ISERROR(SEARCH("BELUM TERSEDIA",H7)))</formula>
    </cfRule>
    <cfRule type="containsText" dxfId="13" priority="17" operator="containsText" text="SUDAH ADA">
      <formula>NOT(ISERROR(SEARCH("SUDAH ADA",H7)))</formula>
    </cfRule>
  </conditionalFormatting>
  <conditionalFormatting sqref="H7:H24">
    <cfRule type="containsText" dxfId="12" priority="14" operator="containsText" text="N">
      <formula>NOT(ISERROR(SEARCH("N",H7)))</formula>
    </cfRule>
    <cfRule type="containsText" dxfId="11" priority="15" operator="containsText" text="Y">
      <formula>NOT(ISERROR(SEARCH("Y",H7)))</formula>
    </cfRule>
  </conditionalFormatting>
  <conditionalFormatting sqref="I7:I24">
    <cfRule type="containsText" dxfId="10" priority="12" operator="containsText" text="BELUM TERSEDIA">
      <formula>NOT(ISERROR(SEARCH("BELUM TERSEDIA",I7)))</formula>
    </cfRule>
    <cfRule type="containsText" dxfId="9" priority="13" operator="containsText" text="SUDAH ADA">
      <formula>NOT(ISERROR(SEARCH("SUDAH ADA",I7)))</formula>
    </cfRule>
  </conditionalFormatting>
  <conditionalFormatting sqref="I7:I24">
    <cfRule type="containsText" dxfId="8" priority="10" operator="containsText" text="N">
      <formula>NOT(ISERROR(SEARCH("N",I7)))</formula>
    </cfRule>
    <cfRule type="containsText" dxfId="7" priority="11" operator="containsText" text="Y">
      <formula>NOT(ISERROR(SEARCH("Y",I7)))</formula>
    </cfRule>
  </conditionalFormatting>
  <conditionalFormatting sqref="J7:J24">
    <cfRule type="containsText" dxfId="6" priority="8" operator="containsText" text="BELUM TERSEDIA">
      <formula>NOT(ISERROR(SEARCH("BELUM TERSEDIA",J7)))</formula>
    </cfRule>
    <cfRule type="containsText" dxfId="5" priority="9" operator="containsText" text="SUDAH ADA">
      <formula>NOT(ISERROR(SEARCH("SUDAH ADA",J7)))</formula>
    </cfRule>
  </conditionalFormatting>
  <conditionalFormatting sqref="J7:J24">
    <cfRule type="containsText" dxfId="4" priority="6" operator="containsText" text="N">
      <formula>NOT(ISERROR(SEARCH("N",J7)))</formula>
    </cfRule>
    <cfRule type="containsText" dxfId="3" priority="7" operator="containsText" text="Y">
      <formula>NOT(ISERROR(SEARCH("Y",J7)))</formula>
    </cfRule>
  </conditionalFormatting>
  <conditionalFormatting sqref="K7:K24">
    <cfRule type="containsText" dxfId="2" priority="4" operator="containsText" text="BELUM TERSEDIA">
      <formula>NOT(ISERROR(SEARCH("BELUM TERSEDIA",K7)))</formula>
    </cfRule>
    <cfRule type="containsText" dxfId="1" priority="5" operator="containsText" text="SUDAH ADA">
      <formula>NOT(ISERROR(SEARCH("SUDAH ADA",K7)))</formula>
    </cfRule>
  </conditionalFormatting>
  <conditionalFormatting sqref="O1:O2 O4:O1048576">
    <cfRule type="containsText" dxfId="0" priority="1" operator="containsText" text="CUKUP">
      <formula>NOT(ISERROR(SEARCH("CUKUP",O1)))</formula>
    </cfRule>
  </conditionalFormatting>
  <pageMargins left="0.7" right="0.7" top="0.75" bottom="0.75" header="0.3" footer="0.3"/>
  <pageSetup paperSize="5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T25"/>
  <sheetViews>
    <sheetView topLeftCell="F1" workbookViewId="0">
      <selection activeCell="J6" sqref="J6"/>
    </sheetView>
  </sheetViews>
  <sheetFormatPr defaultRowHeight="15" x14ac:dyDescent="0.25"/>
  <cols>
    <col min="3" max="3" width="5.140625" customWidth="1"/>
    <col min="4" max="4" width="24.85546875" customWidth="1"/>
    <col min="6" max="6" width="16" customWidth="1"/>
    <col min="7" max="7" width="13" customWidth="1"/>
    <col min="8" max="8" width="15.5703125" customWidth="1"/>
    <col min="9" max="9" width="13.42578125" customWidth="1"/>
    <col min="10" max="10" width="24" customWidth="1"/>
    <col min="11" max="11" width="25.7109375" customWidth="1"/>
  </cols>
  <sheetData>
    <row r="3" spans="3:20" ht="24.75" x14ac:dyDescent="0.25">
      <c r="C3" s="53" t="s">
        <v>28</v>
      </c>
      <c r="D3" s="54"/>
      <c r="E3" s="54"/>
      <c r="F3" s="54"/>
      <c r="G3" s="54"/>
      <c r="H3" s="54"/>
      <c r="I3" s="54"/>
      <c r="J3" s="54"/>
      <c r="K3" s="55"/>
      <c r="L3" s="22"/>
      <c r="M3" s="22"/>
      <c r="N3" s="22"/>
      <c r="O3" s="22"/>
      <c r="P3" s="22"/>
      <c r="Q3" s="22"/>
      <c r="R3" s="22"/>
      <c r="S3" s="22"/>
      <c r="T3" s="22"/>
    </row>
    <row r="4" spans="3:20" x14ac:dyDescent="0.25">
      <c r="C4" s="44" t="s">
        <v>1</v>
      </c>
      <c r="D4" s="5" t="s">
        <v>4</v>
      </c>
      <c r="E4" s="44" t="s">
        <v>2</v>
      </c>
      <c r="F4" s="44" t="s">
        <v>6</v>
      </c>
      <c r="G4" s="44" t="s">
        <v>12</v>
      </c>
      <c r="H4" s="44" t="s">
        <v>18</v>
      </c>
      <c r="I4" s="44" t="s">
        <v>19</v>
      </c>
      <c r="J4" s="47" t="s">
        <v>10</v>
      </c>
      <c r="K4" s="5" t="s">
        <v>3</v>
      </c>
      <c r="L4" s="48"/>
      <c r="M4" s="26"/>
      <c r="N4" s="26"/>
      <c r="O4" s="26"/>
      <c r="P4" s="26"/>
      <c r="Q4" s="26"/>
      <c r="R4" s="26"/>
      <c r="S4" s="26"/>
      <c r="T4" s="26"/>
    </row>
    <row r="5" spans="3:20" ht="60" x14ac:dyDescent="0.25">
      <c r="C5" s="45">
        <v>1</v>
      </c>
      <c r="D5" s="6" t="s">
        <v>5</v>
      </c>
      <c r="E5" s="45" t="s">
        <v>14</v>
      </c>
      <c r="F5" s="45" t="s">
        <v>8</v>
      </c>
      <c r="G5" s="45">
        <v>234</v>
      </c>
      <c r="H5" s="45">
        <v>2013</v>
      </c>
      <c r="I5" s="45" t="s">
        <v>20</v>
      </c>
      <c r="J5" s="6" t="s">
        <v>11</v>
      </c>
      <c r="K5" s="6" t="s">
        <v>9</v>
      </c>
    </row>
    <row r="6" spans="3:20" ht="60" x14ac:dyDescent="0.25">
      <c r="C6" s="45">
        <v>2</v>
      </c>
      <c r="D6" s="6" t="s">
        <v>5</v>
      </c>
      <c r="E6" s="45" t="s">
        <v>14</v>
      </c>
      <c r="F6" s="45" t="s">
        <v>13</v>
      </c>
      <c r="G6" s="45">
        <v>186</v>
      </c>
      <c r="H6" s="45">
        <v>2013</v>
      </c>
      <c r="I6" s="45" t="s">
        <v>20</v>
      </c>
      <c r="J6" s="6" t="s">
        <v>11</v>
      </c>
      <c r="K6" s="6" t="s">
        <v>9</v>
      </c>
    </row>
    <row r="7" spans="3:20" ht="60" x14ac:dyDescent="0.25">
      <c r="C7" s="45">
        <v>3</v>
      </c>
      <c r="D7" s="6" t="s">
        <v>5</v>
      </c>
      <c r="E7" s="45" t="s">
        <v>7</v>
      </c>
      <c r="F7" s="45" t="s">
        <v>8</v>
      </c>
      <c r="G7" s="45">
        <v>324</v>
      </c>
      <c r="H7" s="45">
        <v>2013</v>
      </c>
      <c r="I7" s="45" t="s">
        <v>20</v>
      </c>
      <c r="J7" s="6" t="s">
        <v>11</v>
      </c>
      <c r="K7" s="6" t="s">
        <v>9</v>
      </c>
    </row>
    <row r="8" spans="3:20" ht="60" x14ac:dyDescent="0.25">
      <c r="C8" s="45">
        <v>4</v>
      </c>
      <c r="D8" s="6" t="s">
        <v>5</v>
      </c>
      <c r="E8" s="45" t="s">
        <v>7</v>
      </c>
      <c r="F8" s="45" t="s">
        <v>13</v>
      </c>
      <c r="G8" s="45">
        <v>270</v>
      </c>
      <c r="H8" s="45">
        <v>2013</v>
      </c>
      <c r="I8" s="45" t="s">
        <v>20</v>
      </c>
      <c r="J8" s="6" t="s">
        <v>11</v>
      </c>
      <c r="K8" s="6" t="s">
        <v>9</v>
      </c>
    </row>
    <row r="9" spans="3:20" ht="45" x14ac:dyDescent="0.25">
      <c r="C9" s="45">
        <v>5</v>
      </c>
      <c r="D9" s="6" t="s">
        <v>21</v>
      </c>
      <c r="E9" s="45" t="s">
        <v>14</v>
      </c>
      <c r="F9" s="45" t="s">
        <v>16</v>
      </c>
      <c r="G9" s="45">
        <v>194</v>
      </c>
      <c r="H9" s="45">
        <v>2013</v>
      </c>
      <c r="I9" s="45" t="s">
        <v>20</v>
      </c>
      <c r="J9" s="6" t="s">
        <v>11</v>
      </c>
      <c r="K9" s="6" t="s">
        <v>23</v>
      </c>
    </row>
    <row r="10" spans="3:20" ht="45" x14ac:dyDescent="0.25">
      <c r="C10" s="45">
        <v>6</v>
      </c>
      <c r="D10" s="6" t="s">
        <v>21</v>
      </c>
      <c r="E10" s="45" t="s">
        <v>7</v>
      </c>
      <c r="F10" s="45" t="s">
        <v>16</v>
      </c>
      <c r="G10" s="45">
        <v>234</v>
      </c>
      <c r="H10" s="45">
        <v>2013</v>
      </c>
      <c r="I10" s="45" t="s">
        <v>20</v>
      </c>
      <c r="J10" s="6" t="s">
        <v>11</v>
      </c>
      <c r="K10" s="6" t="s">
        <v>23</v>
      </c>
    </row>
    <row r="11" spans="3:20" ht="45" x14ac:dyDescent="0.25">
      <c r="C11" s="45">
        <v>7</v>
      </c>
      <c r="D11" s="45" t="s">
        <v>44</v>
      </c>
      <c r="E11" s="45" t="s">
        <v>14</v>
      </c>
      <c r="F11" s="45" t="s">
        <v>16</v>
      </c>
      <c r="G11" s="45">
        <v>306</v>
      </c>
      <c r="H11" s="45">
        <v>2013</v>
      </c>
      <c r="I11" s="45" t="s">
        <v>20</v>
      </c>
      <c r="J11" s="6" t="s">
        <v>11</v>
      </c>
      <c r="K11" s="6" t="s">
        <v>56</v>
      </c>
    </row>
    <row r="12" spans="3:20" ht="45" x14ac:dyDescent="0.25">
      <c r="C12" s="45">
        <v>8</v>
      </c>
      <c r="D12" s="6" t="s">
        <v>15</v>
      </c>
      <c r="E12" s="45" t="s">
        <v>14</v>
      </c>
      <c r="F12" s="45" t="s">
        <v>16</v>
      </c>
      <c r="G12" s="45">
        <v>328</v>
      </c>
      <c r="H12" s="45">
        <v>2013</v>
      </c>
      <c r="I12" s="45" t="s">
        <v>22</v>
      </c>
      <c r="J12" s="6" t="s">
        <v>11</v>
      </c>
      <c r="K12" s="6" t="s">
        <v>17</v>
      </c>
    </row>
    <row r="13" spans="3:20" ht="45" x14ac:dyDescent="0.25">
      <c r="C13" s="45">
        <v>9</v>
      </c>
      <c r="D13" s="18" t="s">
        <v>26</v>
      </c>
      <c r="E13" s="45" t="s">
        <v>14</v>
      </c>
      <c r="F13" s="45" t="s">
        <v>13</v>
      </c>
      <c r="G13" s="45">
        <v>208</v>
      </c>
      <c r="H13" s="45">
        <v>2013</v>
      </c>
      <c r="I13" s="45" t="s">
        <v>20</v>
      </c>
      <c r="J13" s="6" t="s">
        <v>11</v>
      </c>
      <c r="K13" s="6" t="s">
        <v>27</v>
      </c>
    </row>
    <row r="14" spans="3:20" ht="45" x14ac:dyDescent="0.25">
      <c r="C14" s="45">
        <v>10</v>
      </c>
      <c r="D14" s="18" t="s">
        <v>26</v>
      </c>
      <c r="E14" s="45" t="s">
        <v>7</v>
      </c>
      <c r="F14" s="45" t="s">
        <v>8</v>
      </c>
      <c r="G14" s="45">
        <v>242</v>
      </c>
      <c r="H14" s="45">
        <v>2013</v>
      </c>
      <c r="I14" s="45" t="s">
        <v>20</v>
      </c>
      <c r="J14" s="6" t="s">
        <v>11</v>
      </c>
      <c r="K14" s="6" t="s">
        <v>27</v>
      </c>
    </row>
    <row r="15" spans="3:20" x14ac:dyDescent="0.25">
      <c r="C15" s="45">
        <v>11</v>
      </c>
      <c r="D15" s="6" t="s">
        <v>58</v>
      </c>
      <c r="E15" s="45" t="s">
        <v>14</v>
      </c>
      <c r="F15" s="45" t="s">
        <v>16</v>
      </c>
      <c r="G15" s="45">
        <v>132</v>
      </c>
      <c r="H15" s="45">
        <v>2013</v>
      </c>
      <c r="I15" s="45" t="s">
        <v>60</v>
      </c>
      <c r="J15" s="6" t="s">
        <v>49</v>
      </c>
      <c r="K15" s="6" t="s">
        <v>50</v>
      </c>
    </row>
    <row r="16" spans="3:20" x14ac:dyDescent="0.25">
      <c r="C16" s="45">
        <v>12</v>
      </c>
      <c r="D16" s="6" t="s">
        <v>58</v>
      </c>
      <c r="E16" s="45" t="s">
        <v>7</v>
      </c>
      <c r="F16" s="45" t="s">
        <v>16</v>
      </c>
      <c r="G16" s="45">
        <v>152</v>
      </c>
      <c r="H16" s="45">
        <v>2013</v>
      </c>
      <c r="I16" s="45" t="s">
        <v>20</v>
      </c>
      <c r="J16" s="6" t="s">
        <v>49</v>
      </c>
      <c r="K16" s="6" t="s">
        <v>50</v>
      </c>
    </row>
    <row r="17" spans="3:11" ht="45" x14ac:dyDescent="0.25">
      <c r="C17" s="45">
        <v>13</v>
      </c>
      <c r="D17" s="6" t="s">
        <v>24</v>
      </c>
      <c r="E17" s="45" t="s">
        <v>14</v>
      </c>
      <c r="F17" s="45" t="s">
        <v>13</v>
      </c>
      <c r="G17" s="45">
        <v>376</v>
      </c>
      <c r="H17" s="45">
        <v>2013</v>
      </c>
      <c r="I17" s="45" t="s">
        <v>20</v>
      </c>
      <c r="J17" s="6" t="s">
        <v>11</v>
      </c>
      <c r="K17" s="6" t="s">
        <v>25</v>
      </c>
    </row>
    <row r="18" spans="3:11" ht="45" x14ac:dyDescent="0.25">
      <c r="C18" s="45">
        <v>14</v>
      </c>
      <c r="D18" s="6" t="s">
        <v>24</v>
      </c>
      <c r="E18" s="45" t="s">
        <v>7</v>
      </c>
      <c r="F18" s="45" t="s">
        <v>13</v>
      </c>
      <c r="G18" s="45">
        <v>344</v>
      </c>
      <c r="H18" s="45">
        <v>2013</v>
      </c>
      <c r="I18" s="45" t="s">
        <v>20</v>
      </c>
      <c r="J18" s="6" t="s">
        <v>11</v>
      </c>
      <c r="K18" s="6" t="s">
        <v>25</v>
      </c>
    </row>
    <row r="19" spans="3:11" ht="45" x14ac:dyDescent="0.25">
      <c r="C19" s="45">
        <v>15</v>
      </c>
      <c r="D19" s="45" t="s">
        <v>70</v>
      </c>
      <c r="E19" s="46" t="s">
        <v>7</v>
      </c>
      <c r="F19" s="46" t="s">
        <v>16</v>
      </c>
      <c r="G19" s="45">
        <v>300</v>
      </c>
      <c r="H19" s="45">
        <v>2013</v>
      </c>
      <c r="I19" s="46" t="s">
        <v>20</v>
      </c>
      <c r="J19" s="6" t="s">
        <v>11</v>
      </c>
      <c r="K19" s="45" t="s">
        <v>40</v>
      </c>
    </row>
    <row r="20" spans="3:11" x14ac:dyDescent="0.25">
      <c r="C20" s="45">
        <v>16</v>
      </c>
      <c r="D20" s="45"/>
      <c r="E20" s="45"/>
      <c r="F20" s="45"/>
      <c r="G20" s="45"/>
      <c r="H20" s="45"/>
      <c r="I20" s="45"/>
      <c r="J20" s="45"/>
      <c r="K20" s="45"/>
    </row>
    <row r="21" spans="3:11" x14ac:dyDescent="0.25">
      <c r="C21" s="45">
        <v>17</v>
      </c>
      <c r="D21" s="45"/>
      <c r="E21" s="45"/>
      <c r="F21" s="45"/>
      <c r="G21" s="45"/>
      <c r="H21" s="45"/>
      <c r="I21" s="45"/>
      <c r="J21" s="45"/>
      <c r="K21" s="45"/>
    </row>
    <row r="22" spans="3:11" x14ac:dyDescent="0.25">
      <c r="C22" s="45">
        <v>18</v>
      </c>
      <c r="D22" s="45"/>
      <c r="E22" s="45"/>
      <c r="F22" s="45"/>
      <c r="G22" s="45"/>
      <c r="H22" s="45"/>
      <c r="I22" s="45"/>
      <c r="J22" s="45"/>
      <c r="K22" s="45"/>
    </row>
    <row r="23" spans="3:11" x14ac:dyDescent="0.25">
      <c r="C23" s="45">
        <v>19</v>
      </c>
      <c r="D23" s="45"/>
      <c r="E23" s="45"/>
      <c r="F23" s="45"/>
      <c r="G23" s="45"/>
      <c r="H23" s="45"/>
      <c r="I23" s="45"/>
      <c r="J23" s="45"/>
      <c r="K23" s="45"/>
    </row>
    <row r="24" spans="3:11" x14ac:dyDescent="0.25">
      <c r="C24" s="45">
        <v>20</v>
      </c>
      <c r="D24" s="45"/>
      <c r="E24" s="45"/>
      <c r="F24" s="45"/>
      <c r="G24" s="45"/>
      <c r="H24" s="45"/>
      <c r="I24" s="45"/>
      <c r="J24" s="45"/>
      <c r="K24" s="45"/>
    </row>
    <row r="25" spans="3:11" x14ac:dyDescent="0.25">
      <c r="C25" s="45">
        <v>21</v>
      </c>
      <c r="D25" s="45"/>
      <c r="E25" s="45"/>
      <c r="F25" s="45"/>
      <c r="G25" s="45"/>
      <c r="H25" s="45"/>
      <c r="I25" s="45"/>
      <c r="J25" s="45"/>
      <c r="K25" s="45"/>
    </row>
  </sheetData>
  <mergeCells count="1">
    <mergeCell ref="C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FORMAT ISI</vt:lpstr>
      <vt:lpstr>KELAS</vt:lpstr>
      <vt:lpstr>REKAP BUKU</vt:lpstr>
      <vt:lpstr>DATA PERPUSTAKAAN</vt:lpstr>
      <vt:lpstr>REKAPAN</vt:lpstr>
      <vt:lpstr>KELAS7SEMESTER1</vt:lpstr>
      <vt:lpstr>KELAS7SEMESTER2</vt:lpstr>
      <vt:lpstr>KELAS8SEMESTER1</vt:lpstr>
      <vt:lpstr>KELAS8SEMESTER2</vt:lpstr>
      <vt:lpstr>KELAS9SEMESTER1</vt:lpstr>
      <vt:lpstr>KELAS9SEMESTER2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MTS An-Najwa</dc:creator>
  <cp:lastModifiedBy>MR.149</cp:lastModifiedBy>
  <dcterms:created xsi:type="dcterms:W3CDTF">2018-07-31T05:02:03Z</dcterms:created>
  <dcterms:modified xsi:type="dcterms:W3CDTF">2019-06-20T11:06:34Z</dcterms:modified>
</cp:coreProperties>
</file>